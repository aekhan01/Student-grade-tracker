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<sst xmlns="http://schemas.openxmlformats.org/spreadsheetml/2006/main" count="339" uniqueCount="244">
  <si>
    <t>Id</t>
  </si>
  <si>
    <t>First_name</t>
  </si>
  <si>
    <t>Last_name</t>
  </si>
  <si>
    <t>Gender</t>
  </si>
  <si>
    <t>Test /30</t>
  </si>
  <si>
    <t>Assignment /10</t>
  </si>
  <si>
    <t>Exam /60</t>
  </si>
  <si>
    <t>Total /100</t>
  </si>
  <si>
    <t>Grade</t>
  </si>
  <si>
    <t>Remark</t>
  </si>
  <si>
    <t>Gretta</t>
  </si>
  <si>
    <t>Frohock</t>
  </si>
  <si>
    <t>Female</t>
  </si>
  <si>
    <t>Berty</t>
  </si>
  <si>
    <t>Murrum</t>
  </si>
  <si>
    <t>Lanita</t>
  </si>
  <si>
    <t>Arnold</t>
  </si>
  <si>
    <t>Michell</t>
  </si>
  <si>
    <t>Tuther</t>
  </si>
  <si>
    <t>Nichols</t>
  </si>
  <si>
    <t>Dionisio</t>
  </si>
  <si>
    <t>Male</t>
  </si>
  <si>
    <t>No of Students</t>
  </si>
  <si>
    <t>Benson</t>
  </si>
  <si>
    <t>Guerre</t>
  </si>
  <si>
    <t>Class Average</t>
  </si>
  <si>
    <t>Pembroke</t>
  </si>
  <si>
    <t>Dobble</t>
  </si>
  <si>
    <t>Best Student</t>
  </si>
  <si>
    <t>Mortimer</t>
  </si>
  <si>
    <t>Lafond</t>
  </si>
  <si>
    <t>No of Pass</t>
  </si>
  <si>
    <t>Shaylah</t>
  </si>
  <si>
    <t>Ceaplen</t>
  </si>
  <si>
    <t>No of Fail</t>
  </si>
  <si>
    <t>Eldridge</t>
  </si>
  <si>
    <t>Seaman</t>
  </si>
  <si>
    <t>% of Pass</t>
  </si>
  <si>
    <t>Eben</t>
  </si>
  <si>
    <t>Brien</t>
  </si>
  <si>
    <t>% of Fail</t>
  </si>
  <si>
    <t>Yorke</t>
  </si>
  <si>
    <t>Spofforth</t>
  </si>
  <si>
    <t>Polygender</t>
  </si>
  <si>
    <t>% of test Pass</t>
  </si>
  <si>
    <t>Eunice</t>
  </si>
  <si>
    <t>Nuzzetti</t>
  </si>
  <si>
    <t>% of test fail</t>
  </si>
  <si>
    <t>Francis</t>
  </si>
  <si>
    <t>Dugald</t>
  </si>
  <si>
    <t>% of Asst Pass</t>
  </si>
  <si>
    <t>Aubrette</t>
  </si>
  <si>
    <t>Connelly</t>
  </si>
  <si>
    <t>% of Asst Fail</t>
  </si>
  <si>
    <t>Jilleen</t>
  </si>
  <si>
    <t>Cossans</t>
  </si>
  <si>
    <t>% of Exam Pass</t>
  </si>
  <si>
    <t>Efren</t>
  </si>
  <si>
    <t>Titchener</t>
  </si>
  <si>
    <t>% of Exam Fail</t>
  </si>
  <si>
    <t>Patty</t>
  </si>
  <si>
    <t>McKearnen</t>
  </si>
  <si>
    <t>No of Male</t>
  </si>
  <si>
    <t>Miof mela</t>
  </si>
  <si>
    <t>Thornley</t>
  </si>
  <si>
    <t>No of Female</t>
  </si>
  <si>
    <t>Rolf</t>
  </si>
  <si>
    <t>Badby</t>
  </si>
  <si>
    <t>No of Male Pass</t>
  </si>
  <si>
    <t>Nickolas</t>
  </si>
  <si>
    <t>Snarr</t>
  </si>
  <si>
    <t>No of Female Pass</t>
  </si>
  <si>
    <t>Ingmar</t>
  </si>
  <si>
    <t>Melbury</t>
  </si>
  <si>
    <t>% of Male Pass</t>
  </si>
  <si>
    <t>Shaine</t>
  </si>
  <si>
    <t>Impey</t>
  </si>
  <si>
    <t>% of Female Pass</t>
  </si>
  <si>
    <t>Jacinta</t>
  </si>
  <si>
    <t>Rolinson</t>
  </si>
  <si>
    <t xml:space="preserve">% of A's </t>
  </si>
  <si>
    <t>Woody</t>
  </si>
  <si>
    <t>Battlestone</t>
  </si>
  <si>
    <t>% of B's</t>
  </si>
  <si>
    <t>Caitrin</t>
  </si>
  <si>
    <t>Gareisr</t>
  </si>
  <si>
    <t>% of C's</t>
  </si>
  <si>
    <t>Jeremias</t>
  </si>
  <si>
    <t>Pargeter</t>
  </si>
  <si>
    <t>% of D's</t>
  </si>
  <si>
    <t>Nariko</t>
  </si>
  <si>
    <t>Chape</t>
  </si>
  <si>
    <t>% of E's</t>
  </si>
  <si>
    <t>Damita</t>
  </si>
  <si>
    <t>Langmuir</t>
  </si>
  <si>
    <t>% of F's</t>
  </si>
  <si>
    <t>Xenia</t>
  </si>
  <si>
    <t>Bickford</t>
  </si>
  <si>
    <t>Worst student</t>
  </si>
  <si>
    <t>Sander</t>
  </si>
  <si>
    <t>Cowap</t>
  </si>
  <si>
    <t>Gilli</t>
  </si>
  <si>
    <t>Pattington</t>
  </si>
  <si>
    <t>Kippie</t>
  </si>
  <si>
    <t>Thombleson</t>
  </si>
  <si>
    <t>Grant</t>
  </si>
  <si>
    <t>Wolfindale</t>
  </si>
  <si>
    <t>Camey</t>
  </si>
  <si>
    <t>Gunner</t>
  </si>
  <si>
    <t>Dani</t>
  </si>
  <si>
    <t>Pasley</t>
  </si>
  <si>
    <t>Marmaduke</t>
  </si>
  <si>
    <t>Eggar</t>
  </si>
  <si>
    <t>Oates</t>
  </si>
  <si>
    <t>Duffett</t>
  </si>
  <si>
    <t>Dew</t>
  </si>
  <si>
    <t>Leeburn</t>
  </si>
  <si>
    <t>Boyce</t>
  </si>
  <si>
    <t>Deelay</t>
  </si>
  <si>
    <t>Lyndsey</t>
  </si>
  <si>
    <t>Blaw</t>
  </si>
  <si>
    <t>Grata</t>
  </si>
  <si>
    <t>Dablin</t>
  </si>
  <si>
    <t>Dexter</t>
  </si>
  <si>
    <t>Terney</t>
  </si>
  <si>
    <t>Simon</t>
  </si>
  <si>
    <t>Bothams</t>
  </si>
  <si>
    <t>Brooke</t>
  </si>
  <si>
    <t>Keats</t>
  </si>
  <si>
    <t>Clari</t>
  </si>
  <si>
    <t>Ketchen</t>
  </si>
  <si>
    <t>Carlina</t>
  </si>
  <si>
    <t>Blanket</t>
  </si>
  <si>
    <t>Ardelia</t>
  </si>
  <si>
    <t>Covell</t>
  </si>
  <si>
    <t>Peta</t>
  </si>
  <si>
    <t>Bartoszewicz</t>
  </si>
  <si>
    <t>Terrijo</t>
  </si>
  <si>
    <t>Spurgeon</t>
  </si>
  <si>
    <t>Agender</t>
  </si>
  <si>
    <t>Dina</t>
  </si>
  <si>
    <t>Cruickshank</t>
  </si>
  <si>
    <t>Caril</t>
  </si>
  <si>
    <t>Henriksson</t>
  </si>
  <si>
    <t>Piotr</t>
  </si>
  <si>
    <t>Skitch</t>
  </si>
  <si>
    <t>Margot</t>
  </si>
  <si>
    <t>Husselbee</t>
  </si>
  <si>
    <t>Jemie</t>
  </si>
  <si>
    <t>Kleinbaum</t>
  </si>
  <si>
    <t>Ginger</t>
  </si>
  <si>
    <t>Greest</t>
  </si>
  <si>
    <t>Hughie</t>
  </si>
  <si>
    <t>Cockill</t>
  </si>
  <si>
    <t>Banky</t>
  </si>
  <si>
    <t>Smurfit</t>
  </si>
  <si>
    <t>Bobbe</t>
  </si>
  <si>
    <t>Krzyzaniak</t>
  </si>
  <si>
    <t>Edgard</t>
  </si>
  <si>
    <t>Seczyk</t>
  </si>
  <si>
    <t>Roley</t>
  </si>
  <si>
    <t>Rishman</t>
  </si>
  <si>
    <t>Coral</t>
  </si>
  <si>
    <t>Robben</t>
  </si>
  <si>
    <t>Giovanni</t>
  </si>
  <si>
    <t>MacCambridge</t>
  </si>
  <si>
    <t>Orton</t>
  </si>
  <si>
    <t>Beig</t>
  </si>
  <si>
    <t>Lucie</t>
  </si>
  <si>
    <t>Cornelisse</t>
  </si>
  <si>
    <t>Erica</t>
  </si>
  <si>
    <t>Manis</t>
  </si>
  <si>
    <t>Genderqueer</t>
  </si>
  <si>
    <t>Lorilee</t>
  </si>
  <si>
    <t>Kelling</t>
  </si>
  <si>
    <t>Coretta</t>
  </si>
  <si>
    <t>Adamik</t>
  </si>
  <si>
    <t>Temple</t>
  </si>
  <si>
    <t>Sweynson</t>
  </si>
  <si>
    <t>Marc</t>
  </si>
  <si>
    <t>Frye</t>
  </si>
  <si>
    <t>Rickey</t>
  </si>
  <si>
    <t>Easom</t>
  </si>
  <si>
    <t>Adorne</t>
  </si>
  <si>
    <t>Roebuck</t>
  </si>
  <si>
    <t>Martin</t>
  </si>
  <si>
    <t>Gladman</t>
  </si>
  <si>
    <t>Carlye</t>
  </si>
  <si>
    <t>Duckering</t>
  </si>
  <si>
    <t>Lillis</t>
  </si>
  <si>
    <t>Bugler</t>
  </si>
  <si>
    <t>Ailene</t>
  </si>
  <si>
    <t>Geeve</t>
  </si>
  <si>
    <t>Blaine</t>
  </si>
  <si>
    <t>Nacey</t>
  </si>
  <si>
    <t>Abdel</t>
  </si>
  <si>
    <t>Whittick</t>
  </si>
  <si>
    <t>Turner</t>
  </si>
  <si>
    <t>Gerssam</t>
  </si>
  <si>
    <t>Nathanil</t>
  </si>
  <si>
    <t>Beasley</t>
  </si>
  <si>
    <t>Amy</t>
  </si>
  <si>
    <t>Spellicy</t>
  </si>
  <si>
    <t>Arleta</t>
  </si>
  <si>
    <t>Ruppele</t>
  </si>
  <si>
    <t>Randy</t>
  </si>
  <si>
    <t>Sewall</t>
  </si>
  <si>
    <t>Bigender</t>
  </si>
  <si>
    <t>Cordelie</t>
  </si>
  <si>
    <t>Gawkes</t>
  </si>
  <si>
    <t>Tandy</t>
  </si>
  <si>
    <t>Howorth</t>
  </si>
  <si>
    <t>Griz</t>
  </si>
  <si>
    <t>Matten</t>
  </si>
  <si>
    <t>Phyllys</t>
  </si>
  <si>
    <t>Allflatt</t>
  </si>
  <si>
    <t>Fedora</t>
  </si>
  <si>
    <t>Vacher</t>
  </si>
  <si>
    <t>Bruce</t>
  </si>
  <si>
    <t>Gheorghe</t>
  </si>
  <si>
    <t>Hortense</t>
  </si>
  <si>
    <t>Kemson</t>
  </si>
  <si>
    <t>Agustin</t>
  </si>
  <si>
    <t>Oldridge</t>
  </si>
  <si>
    <t>Kellyann</t>
  </si>
  <si>
    <t>Grimstead</t>
  </si>
  <si>
    <t>Ofelia</t>
  </si>
  <si>
    <t>Stansell</t>
  </si>
  <si>
    <t>Delmore</t>
  </si>
  <si>
    <t>Claxson</t>
  </si>
  <si>
    <t>Ax</t>
  </si>
  <si>
    <t>Gutridge</t>
  </si>
  <si>
    <t>Alicia</t>
  </si>
  <si>
    <t>Carrell</t>
  </si>
  <si>
    <t>Giulietta</t>
  </si>
  <si>
    <t>Dearlove</t>
  </si>
  <si>
    <t>Hamel</t>
  </si>
  <si>
    <t>Brigham</t>
  </si>
  <si>
    <t>Elsey</t>
  </si>
  <si>
    <t>Coysh</t>
  </si>
  <si>
    <t>Nicolai</t>
  </si>
  <si>
    <t>Veivers</t>
  </si>
  <si>
    <t>Arinze</t>
  </si>
  <si>
    <t>Emmanuel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</si>
</sst>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2" fontId="2" numFmtId="2" xfId="0" applyFill="1" applyFont="1" applyNumberFormat="1"/>
    <xf borderId="0" fillId="3" fontId="1" numFmtId="0" xfId="0" applyAlignment="1" applyFill="1" applyFont="1">
      <alignment readingOrder="0"/>
    </xf>
    <xf borderId="0" fillId="3" fontId="2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Grade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Sheet1!$L$25:$L$30</c:f>
            </c:strRef>
          </c:cat>
          <c:val>
            <c:numRef>
              <c:f>Sheet1!$M$25:$M$30</c:f>
              <c:numCache/>
            </c:numRef>
          </c:val>
        </c:ser>
        <c:axId val="537971059"/>
        <c:axId val="832613256"/>
      </c:barChart>
      <c:catAx>
        <c:axId val="537971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613256"/>
      </c:catAx>
      <c:valAx>
        <c:axId val="83261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971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Sheet1!$L$11:$L$12</c:f>
            </c:strRef>
          </c:cat>
          <c:val>
            <c:numRef>
              <c:f>Sheet1!$M$11:$M$12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Test 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Sheet1!$L$13:$L$14</c:f>
            </c:strRef>
          </c:cat>
          <c:val>
            <c:numRef>
              <c:f>Sheet1!$M$13:$M$14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Assignment 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Sheet1!$L$15:$L$16</c:f>
            </c:strRef>
          </c:cat>
          <c:val>
            <c:numRef>
              <c:f>Sheet1!$M$15:$M$16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Exam Pass vs Fail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Sheet1!$L$17:$L$18</c:f>
            </c:strRef>
          </c:cat>
          <c:val>
            <c:numRef>
              <c:f>Sheet1!$M$17:$M$18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Male vs Female Pass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B5394"/>
              </a:solidFill>
            </c:spPr>
          </c:dPt>
          <c:dPt>
            <c:idx val="1"/>
            <c:spPr>
              <a:solidFill>
                <a:srgbClr val="D5A6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Sheet1!$L$23:$L$24</c:f>
            </c:strRef>
          </c:cat>
          <c:val>
            <c:numRef>
              <c:f>Sheet1!$M$23:$M$24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771525</xdr:colOff>
      <xdr:row>2</xdr:row>
      <xdr:rowOff>9525</xdr:rowOff>
    </xdr:from>
    <xdr:ext cx="3962400" cy="2752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781050</xdr:colOff>
      <xdr:row>17</xdr:row>
      <xdr:rowOff>142875</xdr:rowOff>
    </xdr:from>
    <xdr:ext cx="3962400" cy="2990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781050</xdr:colOff>
      <xdr:row>34</xdr:row>
      <xdr:rowOff>114300</xdr:rowOff>
    </xdr:from>
    <xdr:ext cx="3962400" cy="2990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781050</xdr:colOff>
      <xdr:row>51</xdr:row>
      <xdr:rowOff>85725</xdr:rowOff>
    </xdr:from>
    <xdr:ext cx="3962400" cy="2990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771525</xdr:colOff>
      <xdr:row>68</xdr:row>
      <xdr:rowOff>66675</xdr:rowOff>
    </xdr:from>
    <xdr:ext cx="3971925" cy="2990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771525</xdr:colOff>
      <xdr:row>85</xdr:row>
      <xdr:rowOff>47625</xdr:rowOff>
    </xdr:from>
    <xdr:ext cx="3971925" cy="29908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5" max="5" width="7.13"/>
    <col customWidth="1" min="9" max="9" width="5.88"/>
    <col customWidth="1" min="12" max="12" width="13.88"/>
    <col customWidth="1" min="16" max="16" width="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>
        <v>26.0</v>
      </c>
      <c r="F2" s="2">
        <v>6.0</v>
      </c>
      <c r="G2" s="2">
        <v>0.0</v>
      </c>
      <c r="H2" s="2">
        <f t="shared" ref="H2:H102" si="1">E2+F2+G2</f>
        <v>32</v>
      </c>
      <c r="I2" s="3" t="str">
        <f t="shared" ref="I2:I102" si="2">IFS(H2&gt;90, "A", H2&gt;80, "B", H2&gt;70, "C", H2&gt;60, "D", H2&gt;50, "E", H2&gt;0, "F")</f>
        <v>F</v>
      </c>
      <c r="J2" s="3" t="str">
        <f t="shared" ref="J2:J102" si="3">if(H2&gt;40, "Pass", "Fail")</f>
        <v>Fail</v>
      </c>
    </row>
    <row r="3">
      <c r="A3" s="2">
        <v>2.0</v>
      </c>
      <c r="B3" s="2" t="s">
        <v>13</v>
      </c>
      <c r="C3" s="2" t="s">
        <v>14</v>
      </c>
      <c r="D3" s="2" t="s">
        <v>12</v>
      </c>
      <c r="E3" s="2">
        <v>27.0</v>
      </c>
      <c r="F3" s="2">
        <v>3.0</v>
      </c>
      <c r="G3" s="2">
        <v>50.0</v>
      </c>
      <c r="H3" s="2">
        <f t="shared" si="1"/>
        <v>80</v>
      </c>
      <c r="I3" s="3" t="str">
        <f t="shared" si="2"/>
        <v>C</v>
      </c>
      <c r="J3" s="3" t="str">
        <f t="shared" si="3"/>
        <v>Pass</v>
      </c>
    </row>
    <row r="4">
      <c r="A4" s="2">
        <v>3.0</v>
      </c>
      <c r="B4" s="2" t="s">
        <v>15</v>
      </c>
      <c r="C4" s="2" t="s">
        <v>16</v>
      </c>
      <c r="D4" s="2" t="s">
        <v>12</v>
      </c>
      <c r="E4" s="2">
        <v>25.0</v>
      </c>
      <c r="F4" s="2">
        <v>6.0</v>
      </c>
      <c r="G4" s="2">
        <v>54.0</v>
      </c>
      <c r="H4" s="2">
        <f t="shared" si="1"/>
        <v>85</v>
      </c>
      <c r="I4" s="3" t="str">
        <f t="shared" si="2"/>
        <v>B</v>
      </c>
      <c r="J4" s="3" t="str">
        <f t="shared" si="3"/>
        <v>Pass</v>
      </c>
    </row>
    <row r="5">
      <c r="A5" s="2">
        <v>4.0</v>
      </c>
      <c r="B5" s="2" t="s">
        <v>17</v>
      </c>
      <c r="C5" s="2" t="s">
        <v>18</v>
      </c>
      <c r="D5" s="2" t="s">
        <v>12</v>
      </c>
      <c r="E5" s="2">
        <v>8.0</v>
      </c>
      <c r="F5" s="2">
        <v>8.0</v>
      </c>
      <c r="G5" s="2">
        <v>21.0</v>
      </c>
      <c r="H5" s="2">
        <f t="shared" si="1"/>
        <v>37</v>
      </c>
      <c r="I5" s="3" t="str">
        <f t="shared" si="2"/>
        <v>F</v>
      </c>
      <c r="J5" s="3" t="str">
        <f t="shared" si="3"/>
        <v>Fail</v>
      </c>
    </row>
    <row r="6">
      <c r="A6" s="2">
        <v>5.0</v>
      </c>
      <c r="B6" s="2" t="s">
        <v>19</v>
      </c>
      <c r="C6" s="2" t="s">
        <v>20</v>
      </c>
      <c r="D6" s="2" t="s">
        <v>21</v>
      </c>
      <c r="E6" s="2">
        <v>24.0</v>
      </c>
      <c r="F6" s="2">
        <v>5.0</v>
      </c>
      <c r="G6" s="2">
        <v>8.0</v>
      </c>
      <c r="H6" s="2">
        <f t="shared" si="1"/>
        <v>37</v>
      </c>
      <c r="I6" s="3" t="str">
        <f t="shared" si="2"/>
        <v>F</v>
      </c>
      <c r="J6" s="3" t="str">
        <f t="shared" si="3"/>
        <v>Fail</v>
      </c>
      <c r="L6" s="4" t="s">
        <v>22</v>
      </c>
      <c r="M6" s="5">
        <f>COUNTA(A2:A1000)</f>
        <v>101</v>
      </c>
      <c r="N6" s="5"/>
      <c r="O6" s="5"/>
      <c r="P6" s="5"/>
    </row>
    <row r="7">
      <c r="A7" s="2">
        <v>6.0</v>
      </c>
      <c r="B7" s="2" t="s">
        <v>23</v>
      </c>
      <c r="C7" s="2" t="s">
        <v>24</v>
      </c>
      <c r="D7" s="2" t="s">
        <v>21</v>
      </c>
      <c r="E7" s="2">
        <v>5.0</v>
      </c>
      <c r="F7" s="2">
        <v>5.0</v>
      </c>
      <c r="G7" s="2">
        <v>48.0</v>
      </c>
      <c r="H7" s="2">
        <f t="shared" si="1"/>
        <v>58</v>
      </c>
      <c r="I7" s="3" t="str">
        <f t="shared" si="2"/>
        <v>E</v>
      </c>
      <c r="J7" s="3" t="str">
        <f t="shared" si="3"/>
        <v>Pass</v>
      </c>
      <c r="L7" s="4" t="s">
        <v>25</v>
      </c>
      <c r="M7" s="6">
        <f>AVERAGE(H2:H1000)</f>
        <v>51.7029703</v>
      </c>
      <c r="N7" s="5"/>
      <c r="O7" s="5"/>
      <c r="P7" s="5"/>
    </row>
    <row r="8">
      <c r="A8" s="2">
        <v>7.0</v>
      </c>
      <c r="B8" s="2" t="s">
        <v>26</v>
      </c>
      <c r="C8" s="2" t="s">
        <v>27</v>
      </c>
      <c r="D8" s="2" t="s">
        <v>21</v>
      </c>
      <c r="E8" s="2">
        <v>10.0</v>
      </c>
      <c r="F8" s="2">
        <v>6.0</v>
      </c>
      <c r="G8" s="2">
        <v>56.0</v>
      </c>
      <c r="H8" s="2">
        <f t="shared" si="1"/>
        <v>72</v>
      </c>
      <c r="I8" s="3" t="str">
        <f t="shared" si="2"/>
        <v>C</v>
      </c>
      <c r="J8" s="3" t="str">
        <f t="shared" si="3"/>
        <v>Pass</v>
      </c>
      <c r="L8" s="7" t="s">
        <v>28</v>
      </c>
      <c r="M8" s="8" t="str">
        <f t="array" ref="M8">_xlfn.XLOOKUP(max(H2:H1000), H2:H1000, B2:B1000, 0)</f>
        <v>Arinze</v>
      </c>
      <c r="N8" s="8" t="str">
        <f t="array" ref="N8">_xlfn.XLOOKUP(max(H2:H1000), H2:H1000, C2:C1000, 0)</f>
        <v>Emmanuel</v>
      </c>
      <c r="O8" s="8">
        <f>max(H2:H1000)</f>
        <v>100</v>
      </c>
      <c r="P8" s="8" t="str">
        <f t="array" ref="P8">_xlfn.XLOOKUP(max(H2:H1000), H2:H1000, I2:I1000, 0)</f>
        <v>A</v>
      </c>
    </row>
    <row r="9">
      <c r="A9" s="2">
        <v>8.0</v>
      </c>
      <c r="B9" s="2" t="s">
        <v>29</v>
      </c>
      <c r="C9" s="2" t="s">
        <v>30</v>
      </c>
      <c r="D9" s="2" t="s">
        <v>21</v>
      </c>
      <c r="E9" s="2">
        <v>30.0</v>
      </c>
      <c r="F9" s="2">
        <v>10.0</v>
      </c>
      <c r="G9" s="2">
        <v>23.0</v>
      </c>
      <c r="H9" s="2">
        <f t="shared" si="1"/>
        <v>63</v>
      </c>
      <c r="I9" s="3" t="str">
        <f t="shared" si="2"/>
        <v>D</v>
      </c>
      <c r="J9" s="3" t="str">
        <f t="shared" si="3"/>
        <v>Pass</v>
      </c>
      <c r="L9" s="4" t="s">
        <v>31</v>
      </c>
      <c r="M9" s="5">
        <f>COUNTIF(J2:J1000, "Pass")</f>
        <v>71</v>
      </c>
      <c r="N9" s="5"/>
      <c r="O9" s="5"/>
      <c r="P9" s="5"/>
    </row>
    <row r="10">
      <c r="A10" s="2">
        <v>9.0</v>
      </c>
      <c r="B10" s="2" t="s">
        <v>32</v>
      </c>
      <c r="C10" s="2" t="s">
        <v>33</v>
      </c>
      <c r="D10" s="2" t="s">
        <v>12</v>
      </c>
      <c r="E10" s="2">
        <v>12.0</v>
      </c>
      <c r="F10" s="2">
        <v>0.0</v>
      </c>
      <c r="G10" s="2">
        <v>39.0</v>
      </c>
      <c r="H10" s="2">
        <f t="shared" si="1"/>
        <v>51</v>
      </c>
      <c r="I10" s="3" t="str">
        <f t="shared" si="2"/>
        <v>E</v>
      </c>
      <c r="J10" s="3" t="str">
        <f t="shared" si="3"/>
        <v>Pass</v>
      </c>
      <c r="L10" s="4" t="s">
        <v>34</v>
      </c>
      <c r="M10" s="5">
        <f>COUNTIF(J2:J1000, "Fail")</f>
        <v>30</v>
      </c>
      <c r="N10" s="5"/>
      <c r="O10" s="5"/>
      <c r="P10" s="5"/>
    </row>
    <row r="11">
      <c r="A11" s="2">
        <v>10.0</v>
      </c>
      <c r="B11" s="2" t="s">
        <v>35</v>
      </c>
      <c r="C11" s="2" t="s">
        <v>36</v>
      </c>
      <c r="D11" s="2" t="s">
        <v>21</v>
      </c>
      <c r="E11" s="2">
        <v>6.0</v>
      </c>
      <c r="F11" s="2">
        <v>5.0</v>
      </c>
      <c r="G11" s="2">
        <v>58.0</v>
      </c>
      <c r="H11" s="2">
        <f t="shared" si="1"/>
        <v>69</v>
      </c>
      <c r="I11" s="3" t="str">
        <f t="shared" si="2"/>
        <v>D</v>
      </c>
      <c r="J11" s="3" t="str">
        <f t="shared" si="3"/>
        <v>Pass</v>
      </c>
      <c r="L11" s="4" t="s">
        <v>37</v>
      </c>
      <c r="M11" s="6">
        <f>((COUNTIF(J2:J1000, "Pass")/COUNTA(A2:A1000)) * 100)</f>
        <v>70.2970297</v>
      </c>
      <c r="N11" s="5"/>
      <c r="O11" s="5"/>
      <c r="P11" s="5"/>
    </row>
    <row r="12">
      <c r="A12" s="2">
        <v>11.0</v>
      </c>
      <c r="B12" s="2" t="s">
        <v>38</v>
      </c>
      <c r="C12" s="2" t="s">
        <v>39</v>
      </c>
      <c r="D12" s="2" t="s">
        <v>21</v>
      </c>
      <c r="E12" s="2">
        <v>12.0</v>
      </c>
      <c r="F12" s="2">
        <v>6.0</v>
      </c>
      <c r="G12" s="2">
        <v>37.0</v>
      </c>
      <c r="H12" s="2">
        <f t="shared" si="1"/>
        <v>55</v>
      </c>
      <c r="I12" s="3" t="str">
        <f t="shared" si="2"/>
        <v>E</v>
      </c>
      <c r="J12" s="3" t="str">
        <f t="shared" si="3"/>
        <v>Pass</v>
      </c>
      <c r="L12" s="4" t="s">
        <v>40</v>
      </c>
      <c r="M12" s="6">
        <f>((COUNTIF(J2:J1000, "Fail")/COUNTA(A2:A1000)) * 100)</f>
        <v>29.7029703</v>
      </c>
      <c r="N12" s="5"/>
      <c r="O12" s="5"/>
      <c r="P12" s="5"/>
    </row>
    <row r="13">
      <c r="A13" s="2">
        <v>12.0</v>
      </c>
      <c r="B13" s="2" t="s">
        <v>41</v>
      </c>
      <c r="C13" s="2" t="s">
        <v>42</v>
      </c>
      <c r="D13" s="2" t="s">
        <v>43</v>
      </c>
      <c r="E13" s="2">
        <v>19.0</v>
      </c>
      <c r="F13" s="2">
        <v>10.0</v>
      </c>
      <c r="G13" s="2">
        <v>42.0</v>
      </c>
      <c r="H13" s="2">
        <f t="shared" si="1"/>
        <v>71</v>
      </c>
      <c r="I13" s="3" t="str">
        <f t="shared" si="2"/>
        <v>C</v>
      </c>
      <c r="J13" s="3" t="str">
        <f t="shared" si="3"/>
        <v>Pass</v>
      </c>
      <c r="L13" s="4" t="s">
        <v>44</v>
      </c>
      <c r="M13" s="6">
        <f>((COUNTIF(E2:E1000, "&gt;10")/COUNTA(A2:A1000)) * 100)</f>
        <v>70.2970297</v>
      </c>
      <c r="N13" s="5"/>
      <c r="O13" s="5"/>
      <c r="P13" s="5"/>
    </row>
    <row r="14">
      <c r="A14" s="2">
        <v>13.0</v>
      </c>
      <c r="B14" s="2" t="s">
        <v>45</v>
      </c>
      <c r="C14" s="2" t="s">
        <v>46</v>
      </c>
      <c r="D14" s="2" t="s">
        <v>12</v>
      </c>
      <c r="E14" s="2">
        <v>1.0</v>
      </c>
      <c r="F14" s="2">
        <v>7.0</v>
      </c>
      <c r="G14" s="2">
        <v>47.0</v>
      </c>
      <c r="H14" s="2">
        <f t="shared" si="1"/>
        <v>55</v>
      </c>
      <c r="I14" s="3" t="str">
        <f t="shared" si="2"/>
        <v>E</v>
      </c>
      <c r="J14" s="3" t="str">
        <f t="shared" si="3"/>
        <v>Pass</v>
      </c>
      <c r="L14" s="4" t="s">
        <v>47</v>
      </c>
      <c r="M14" s="6">
        <f>((COUNTIF(E2:E1000, "&lt;10")/COUNTA(A2:A1000)) * 100)</f>
        <v>25.74257426</v>
      </c>
      <c r="N14" s="5"/>
      <c r="O14" s="5"/>
      <c r="P14" s="5"/>
    </row>
    <row r="15">
      <c r="A15" s="2">
        <v>14.0</v>
      </c>
      <c r="B15" s="2" t="s">
        <v>48</v>
      </c>
      <c r="C15" s="2" t="s">
        <v>49</v>
      </c>
      <c r="D15" s="2" t="s">
        <v>21</v>
      </c>
      <c r="E15" s="2">
        <v>14.0</v>
      </c>
      <c r="F15" s="2">
        <v>4.0</v>
      </c>
      <c r="G15" s="2">
        <v>26.0</v>
      </c>
      <c r="H15" s="2">
        <f t="shared" si="1"/>
        <v>44</v>
      </c>
      <c r="I15" s="3" t="str">
        <f t="shared" si="2"/>
        <v>F</v>
      </c>
      <c r="J15" s="3" t="str">
        <f t="shared" si="3"/>
        <v>Pass</v>
      </c>
      <c r="L15" s="4" t="s">
        <v>50</v>
      </c>
      <c r="M15" s="6">
        <f>((COUNTIF(F2:F1000, "&gt;5")/COUNTA(A2:A1000)) * 100)</f>
        <v>55.44554455</v>
      </c>
      <c r="N15" s="5"/>
      <c r="O15" s="5"/>
      <c r="P15" s="5"/>
    </row>
    <row r="16">
      <c r="A16" s="2">
        <v>15.0</v>
      </c>
      <c r="B16" s="2" t="s">
        <v>51</v>
      </c>
      <c r="C16" s="2" t="s">
        <v>52</v>
      </c>
      <c r="D16" s="2" t="s">
        <v>12</v>
      </c>
      <c r="E16" s="2">
        <v>0.0</v>
      </c>
      <c r="F16" s="2">
        <v>8.0</v>
      </c>
      <c r="G16" s="2">
        <v>15.0</v>
      </c>
      <c r="H16" s="2">
        <f t="shared" si="1"/>
        <v>23</v>
      </c>
      <c r="I16" s="3" t="str">
        <f t="shared" si="2"/>
        <v>F</v>
      </c>
      <c r="J16" s="3" t="str">
        <f t="shared" si="3"/>
        <v>Fail</v>
      </c>
      <c r="L16" s="4" t="s">
        <v>53</v>
      </c>
      <c r="M16" s="6">
        <f>((COUNTIF(F2:F1000, "&lt;5")/COUNTA(A2:A1000)) * 100)</f>
        <v>36.63366337</v>
      </c>
      <c r="N16" s="5"/>
      <c r="O16" s="5"/>
      <c r="P16" s="5"/>
    </row>
    <row r="17">
      <c r="A17" s="2">
        <v>16.0</v>
      </c>
      <c r="B17" s="2" t="s">
        <v>54</v>
      </c>
      <c r="C17" s="2" t="s">
        <v>55</v>
      </c>
      <c r="D17" s="2" t="s">
        <v>12</v>
      </c>
      <c r="E17" s="2">
        <v>16.0</v>
      </c>
      <c r="F17" s="2">
        <v>0.0</v>
      </c>
      <c r="G17" s="2">
        <v>42.0</v>
      </c>
      <c r="H17" s="2">
        <f t="shared" si="1"/>
        <v>58</v>
      </c>
      <c r="I17" s="3" t="str">
        <f t="shared" si="2"/>
        <v>E</v>
      </c>
      <c r="J17" s="3" t="str">
        <f t="shared" si="3"/>
        <v>Pass</v>
      </c>
      <c r="L17" s="4" t="s">
        <v>56</v>
      </c>
      <c r="M17" s="6">
        <f>((COUNTIF(G2:G1000, "&gt;30")/COUNTA(A2:A1000)) * 100)</f>
        <v>52.47524752</v>
      </c>
      <c r="N17" s="5"/>
      <c r="O17" s="5"/>
      <c r="P17" s="5"/>
    </row>
    <row r="18">
      <c r="A18" s="2">
        <v>17.0</v>
      </c>
      <c r="B18" s="2" t="s">
        <v>57</v>
      </c>
      <c r="C18" s="2" t="s">
        <v>58</v>
      </c>
      <c r="D18" s="2" t="s">
        <v>21</v>
      </c>
      <c r="E18" s="2">
        <v>29.0</v>
      </c>
      <c r="F18" s="2">
        <v>6.0</v>
      </c>
      <c r="G18" s="2">
        <v>56.0</v>
      </c>
      <c r="H18" s="2">
        <f t="shared" si="1"/>
        <v>91</v>
      </c>
      <c r="I18" s="3" t="str">
        <f t="shared" si="2"/>
        <v>A</v>
      </c>
      <c r="J18" s="3" t="str">
        <f t="shared" si="3"/>
        <v>Pass</v>
      </c>
      <c r="L18" s="4" t="s">
        <v>59</v>
      </c>
      <c r="M18" s="6">
        <f>((COUNTIF(G2:G1000, "&lt;30")/COUNTA(A2:A1000)) * 100)</f>
        <v>47.52475248</v>
      </c>
      <c r="N18" s="5"/>
      <c r="O18" s="5"/>
      <c r="P18" s="5"/>
    </row>
    <row r="19">
      <c r="A19" s="2">
        <v>18.0</v>
      </c>
      <c r="B19" s="2" t="s">
        <v>60</v>
      </c>
      <c r="C19" s="2" t="s">
        <v>61</v>
      </c>
      <c r="D19" s="2" t="s">
        <v>12</v>
      </c>
      <c r="E19" s="2">
        <v>11.0</v>
      </c>
      <c r="F19" s="2">
        <v>1.0</v>
      </c>
      <c r="G19" s="2">
        <v>25.0</v>
      </c>
      <c r="H19" s="2">
        <f t="shared" si="1"/>
        <v>37</v>
      </c>
      <c r="I19" s="3" t="str">
        <f t="shared" si="2"/>
        <v>F</v>
      </c>
      <c r="J19" s="3" t="str">
        <f t="shared" si="3"/>
        <v>Fail</v>
      </c>
      <c r="L19" s="4" t="s">
        <v>62</v>
      </c>
      <c r="M19" s="5">
        <f>COUNTIF(D2:D1000, "Male")</f>
        <v>44</v>
      </c>
      <c r="N19" s="5"/>
      <c r="O19" s="5"/>
      <c r="P19" s="5"/>
    </row>
    <row r="20">
      <c r="A20" s="2">
        <v>19.0</v>
      </c>
      <c r="B20" s="2" t="s">
        <v>63</v>
      </c>
      <c r="C20" s="2" t="s">
        <v>64</v>
      </c>
      <c r="D20" s="2" t="s">
        <v>12</v>
      </c>
      <c r="E20" s="2">
        <v>12.0</v>
      </c>
      <c r="F20" s="2">
        <v>0.0</v>
      </c>
      <c r="G20" s="2">
        <v>58.0</v>
      </c>
      <c r="H20" s="2">
        <f t="shared" si="1"/>
        <v>70</v>
      </c>
      <c r="I20" s="3" t="str">
        <f t="shared" si="2"/>
        <v>D</v>
      </c>
      <c r="J20" s="3" t="str">
        <f t="shared" si="3"/>
        <v>Pass</v>
      </c>
      <c r="L20" s="4" t="s">
        <v>65</v>
      </c>
      <c r="M20" s="5">
        <f>COUNTIF(D2:D1000, "Female")</f>
        <v>50</v>
      </c>
      <c r="N20" s="5"/>
      <c r="O20" s="5"/>
      <c r="P20" s="5"/>
    </row>
    <row r="21">
      <c r="A21" s="2">
        <v>20.0</v>
      </c>
      <c r="B21" s="2" t="s">
        <v>66</v>
      </c>
      <c r="C21" s="2" t="s">
        <v>67</v>
      </c>
      <c r="D21" s="2" t="s">
        <v>21</v>
      </c>
      <c r="E21" s="2">
        <v>15.0</v>
      </c>
      <c r="F21" s="2">
        <v>10.0</v>
      </c>
      <c r="G21" s="2">
        <v>11.0</v>
      </c>
      <c r="H21" s="2">
        <f t="shared" si="1"/>
        <v>36</v>
      </c>
      <c r="I21" s="3" t="str">
        <f t="shared" si="2"/>
        <v>F</v>
      </c>
      <c r="J21" s="3" t="str">
        <f t="shared" si="3"/>
        <v>Fail</v>
      </c>
      <c r="L21" s="4" t="s">
        <v>68</v>
      </c>
      <c r="M21" s="5">
        <f>COUNTIFS(D2:D1000, "Male", J2:J1000, "Pass")</f>
        <v>29</v>
      </c>
      <c r="N21" s="5"/>
      <c r="O21" s="5"/>
      <c r="P21" s="5"/>
    </row>
    <row r="22">
      <c r="A22" s="2">
        <v>21.0</v>
      </c>
      <c r="B22" s="2" t="s">
        <v>69</v>
      </c>
      <c r="C22" s="2" t="s">
        <v>70</v>
      </c>
      <c r="D22" s="2" t="s">
        <v>21</v>
      </c>
      <c r="E22" s="2">
        <v>0.0</v>
      </c>
      <c r="F22" s="2">
        <v>6.0</v>
      </c>
      <c r="G22" s="2">
        <v>12.0</v>
      </c>
      <c r="H22" s="2">
        <f t="shared" si="1"/>
        <v>18</v>
      </c>
      <c r="I22" s="3" t="str">
        <f t="shared" si="2"/>
        <v>F</v>
      </c>
      <c r="J22" s="3" t="str">
        <f t="shared" si="3"/>
        <v>Fail</v>
      </c>
      <c r="L22" s="4" t="s">
        <v>71</v>
      </c>
      <c r="M22" s="5">
        <f>COUNTIFS(D2:D1000, "Female", J2:J1000, "Pass")</f>
        <v>35</v>
      </c>
      <c r="N22" s="5"/>
      <c r="O22" s="5"/>
      <c r="P22" s="5"/>
    </row>
    <row r="23">
      <c r="A23" s="2">
        <v>22.0</v>
      </c>
      <c r="B23" s="2" t="s">
        <v>72</v>
      </c>
      <c r="C23" s="2" t="s">
        <v>73</v>
      </c>
      <c r="D23" s="2" t="s">
        <v>21</v>
      </c>
      <c r="E23" s="2">
        <v>26.0</v>
      </c>
      <c r="F23" s="2">
        <v>5.0</v>
      </c>
      <c r="G23" s="2">
        <v>21.0</v>
      </c>
      <c r="H23" s="2">
        <f t="shared" si="1"/>
        <v>52</v>
      </c>
      <c r="I23" s="3" t="str">
        <f t="shared" si="2"/>
        <v>E</v>
      </c>
      <c r="J23" s="3" t="str">
        <f t="shared" si="3"/>
        <v>Pass</v>
      </c>
      <c r="L23" s="4" t="s">
        <v>74</v>
      </c>
      <c r="M23" s="6">
        <f>(M21/(M22 + M21) * 100)</f>
        <v>45.3125</v>
      </c>
      <c r="N23" s="5"/>
      <c r="O23" s="5"/>
      <c r="P23" s="5"/>
    </row>
    <row r="24">
      <c r="A24" s="2">
        <v>23.0</v>
      </c>
      <c r="B24" s="2" t="s">
        <v>75</v>
      </c>
      <c r="C24" s="2" t="s">
        <v>76</v>
      </c>
      <c r="D24" s="2" t="s">
        <v>12</v>
      </c>
      <c r="E24" s="2">
        <v>24.0</v>
      </c>
      <c r="F24" s="2">
        <v>4.0</v>
      </c>
      <c r="G24" s="2">
        <v>0.0</v>
      </c>
      <c r="H24" s="2">
        <f t="shared" si="1"/>
        <v>28</v>
      </c>
      <c r="I24" s="3" t="str">
        <f t="shared" si="2"/>
        <v>F</v>
      </c>
      <c r="J24" s="3" t="str">
        <f t="shared" si="3"/>
        <v>Fail</v>
      </c>
      <c r="L24" s="4" t="s">
        <v>77</v>
      </c>
      <c r="M24" s="6">
        <f>(M22/(M22 + M21) * 100)</f>
        <v>54.6875</v>
      </c>
      <c r="N24" s="5"/>
      <c r="O24" s="5"/>
      <c r="P24" s="5"/>
    </row>
    <row r="25">
      <c r="A25" s="2">
        <v>24.0</v>
      </c>
      <c r="B25" s="2" t="s">
        <v>78</v>
      </c>
      <c r="C25" s="2" t="s">
        <v>79</v>
      </c>
      <c r="D25" s="2" t="s">
        <v>12</v>
      </c>
      <c r="E25" s="2">
        <v>3.0</v>
      </c>
      <c r="F25" s="2">
        <v>2.0</v>
      </c>
      <c r="G25" s="2">
        <v>6.0</v>
      </c>
      <c r="H25" s="2">
        <f t="shared" si="1"/>
        <v>11</v>
      </c>
      <c r="I25" s="3" t="str">
        <f t="shared" si="2"/>
        <v>F</v>
      </c>
      <c r="J25" s="3" t="str">
        <f t="shared" si="3"/>
        <v>Fail</v>
      </c>
      <c r="L25" s="4" t="s">
        <v>80</v>
      </c>
      <c r="M25" s="6">
        <f>COUNTIF(I2:I1000, "A")/COUNTA(A2:A1000) * 100</f>
        <v>1.98019802</v>
      </c>
      <c r="N25" s="5"/>
      <c r="O25" s="5"/>
      <c r="P25" s="5"/>
    </row>
    <row r="26">
      <c r="A26" s="2">
        <v>25.0</v>
      </c>
      <c r="B26" s="2" t="s">
        <v>81</v>
      </c>
      <c r="C26" s="2" t="s">
        <v>82</v>
      </c>
      <c r="D26" s="2" t="s">
        <v>21</v>
      </c>
      <c r="E26" s="2">
        <v>21.0</v>
      </c>
      <c r="F26" s="2">
        <v>6.0</v>
      </c>
      <c r="G26" s="2">
        <v>13.0</v>
      </c>
      <c r="H26" s="2">
        <f t="shared" si="1"/>
        <v>40</v>
      </c>
      <c r="I26" s="3" t="str">
        <f t="shared" si="2"/>
        <v>F</v>
      </c>
      <c r="J26" s="3" t="str">
        <f t="shared" si="3"/>
        <v>Fail</v>
      </c>
      <c r="L26" s="4" t="s">
        <v>83</v>
      </c>
      <c r="M26" s="6">
        <f>COUNTIF(I2:I1000, "B")/COUNTA(A2:A1000) * 100</f>
        <v>3.96039604</v>
      </c>
      <c r="N26" s="5"/>
      <c r="O26" s="5"/>
      <c r="P26" s="5"/>
    </row>
    <row r="27">
      <c r="A27" s="2">
        <v>26.0</v>
      </c>
      <c r="B27" s="2" t="s">
        <v>84</v>
      </c>
      <c r="C27" s="2" t="s">
        <v>85</v>
      </c>
      <c r="D27" s="2" t="s">
        <v>12</v>
      </c>
      <c r="E27" s="2">
        <v>22.0</v>
      </c>
      <c r="F27" s="2">
        <v>4.0</v>
      </c>
      <c r="G27" s="2">
        <v>29.0</v>
      </c>
      <c r="H27" s="2">
        <f t="shared" si="1"/>
        <v>55</v>
      </c>
      <c r="I27" s="3" t="str">
        <f t="shared" si="2"/>
        <v>E</v>
      </c>
      <c r="J27" s="3" t="str">
        <f t="shared" si="3"/>
        <v>Pass</v>
      </c>
      <c r="L27" s="4" t="s">
        <v>86</v>
      </c>
      <c r="M27" s="6">
        <f>COUNTIF(I2:I1000, "C")/COUNTA(A2:A1000) * 100</f>
        <v>12.87128713</v>
      </c>
      <c r="N27" s="5"/>
      <c r="O27" s="5"/>
      <c r="P27" s="5"/>
    </row>
    <row r="28">
      <c r="A28" s="2">
        <v>27.0</v>
      </c>
      <c r="B28" s="2" t="s">
        <v>87</v>
      </c>
      <c r="C28" s="2" t="s">
        <v>88</v>
      </c>
      <c r="D28" s="2" t="s">
        <v>21</v>
      </c>
      <c r="E28" s="2">
        <v>0.0</v>
      </c>
      <c r="F28" s="2">
        <v>6.0</v>
      </c>
      <c r="G28" s="2">
        <v>50.0</v>
      </c>
      <c r="H28" s="2">
        <f t="shared" si="1"/>
        <v>56</v>
      </c>
      <c r="I28" s="3" t="str">
        <f t="shared" si="2"/>
        <v>E</v>
      </c>
      <c r="J28" s="3" t="str">
        <f t="shared" si="3"/>
        <v>Pass</v>
      </c>
      <c r="L28" s="4" t="s">
        <v>89</v>
      </c>
      <c r="M28" s="6">
        <f>COUNTIF(I2:I1000, "D")/COUNTA(A2:A1000) * 100</f>
        <v>15.84158416</v>
      </c>
      <c r="N28" s="5"/>
      <c r="O28" s="5"/>
      <c r="P28" s="5"/>
    </row>
    <row r="29">
      <c r="A29" s="2">
        <v>28.0</v>
      </c>
      <c r="B29" s="2" t="s">
        <v>90</v>
      </c>
      <c r="C29" s="2" t="s">
        <v>91</v>
      </c>
      <c r="D29" s="2" t="s">
        <v>12</v>
      </c>
      <c r="E29" s="2">
        <v>0.0</v>
      </c>
      <c r="F29" s="2">
        <v>10.0</v>
      </c>
      <c r="G29" s="2">
        <v>25.0</v>
      </c>
      <c r="H29" s="2">
        <f t="shared" si="1"/>
        <v>35</v>
      </c>
      <c r="I29" s="3" t="str">
        <f t="shared" si="2"/>
        <v>F</v>
      </c>
      <c r="J29" s="3" t="str">
        <f t="shared" si="3"/>
        <v>Fail</v>
      </c>
      <c r="L29" s="4" t="s">
        <v>92</v>
      </c>
      <c r="M29" s="6">
        <f>COUNTIF(I2:I1000, "E")/COUNTA(A2:A1000) * 100</f>
        <v>17.82178218</v>
      </c>
      <c r="N29" s="5"/>
      <c r="O29" s="5"/>
      <c r="P29" s="5"/>
    </row>
    <row r="30">
      <c r="A30" s="2">
        <v>29.0</v>
      </c>
      <c r="B30" s="2" t="s">
        <v>93</v>
      </c>
      <c r="C30" s="2" t="s">
        <v>94</v>
      </c>
      <c r="D30" s="2" t="s">
        <v>12</v>
      </c>
      <c r="E30" s="2">
        <v>3.0</v>
      </c>
      <c r="F30" s="2">
        <v>2.0</v>
      </c>
      <c r="G30" s="2">
        <v>55.0</v>
      </c>
      <c r="H30" s="2">
        <f t="shared" si="1"/>
        <v>60</v>
      </c>
      <c r="I30" s="3" t="str">
        <f t="shared" si="2"/>
        <v>E</v>
      </c>
      <c r="J30" s="3" t="str">
        <f t="shared" si="3"/>
        <v>Pass</v>
      </c>
      <c r="L30" s="4" t="s">
        <v>95</v>
      </c>
      <c r="M30" s="6">
        <f>COUNTIF(I2:I1000, "F")/COUNTA(A2:A1000) * 100</f>
        <v>47.52475248</v>
      </c>
      <c r="N30" s="5"/>
      <c r="O30" s="5"/>
      <c r="P30" s="5"/>
    </row>
    <row r="31">
      <c r="A31" s="2">
        <v>30.0</v>
      </c>
      <c r="B31" s="2" t="s">
        <v>96</v>
      </c>
      <c r="C31" s="2" t="s">
        <v>97</v>
      </c>
      <c r="D31" s="2" t="s">
        <v>12</v>
      </c>
      <c r="E31" s="2">
        <v>4.0</v>
      </c>
      <c r="F31" s="2">
        <v>7.0</v>
      </c>
      <c r="G31" s="2">
        <v>35.0</v>
      </c>
      <c r="H31" s="2">
        <f t="shared" si="1"/>
        <v>46</v>
      </c>
      <c r="I31" s="3" t="str">
        <f t="shared" si="2"/>
        <v>F</v>
      </c>
      <c r="J31" s="3" t="str">
        <f t="shared" si="3"/>
        <v>Pass</v>
      </c>
      <c r="L31" s="9" t="s">
        <v>98</v>
      </c>
      <c r="M31" s="10" t="str">
        <f t="array" ref="M31">_xlfn.XLOOKUP(min(H2:H1000), H2:H1000, B2:B1000, 0)</f>
        <v>Simon</v>
      </c>
      <c r="N31" s="10" t="str">
        <f t="array" ref="N31">_xlfn.XLOOKUP(min(H2:H1000), H2:H1000, C2:C1000, 0)</f>
        <v>Bothams</v>
      </c>
      <c r="O31" s="10">
        <f>min(H2:H1000)</f>
        <v>1</v>
      </c>
      <c r="P31" s="10" t="str">
        <f t="array" ref="P31">_xlfn.XLOOKUP(min(H2:H1000), H2:H1000, I2:I1000, 0)</f>
        <v>F</v>
      </c>
    </row>
    <row r="32">
      <c r="A32" s="2">
        <v>31.0</v>
      </c>
      <c r="B32" s="2" t="s">
        <v>99</v>
      </c>
      <c r="C32" s="2" t="s">
        <v>100</v>
      </c>
      <c r="D32" s="2" t="s">
        <v>21</v>
      </c>
      <c r="E32" s="2">
        <v>23.0</v>
      </c>
      <c r="F32" s="2">
        <v>10.0</v>
      </c>
      <c r="G32" s="2">
        <v>36.0</v>
      </c>
      <c r="H32" s="2">
        <f t="shared" si="1"/>
        <v>69</v>
      </c>
      <c r="I32" s="3" t="str">
        <f t="shared" si="2"/>
        <v>D</v>
      </c>
      <c r="J32" s="3" t="str">
        <f t="shared" si="3"/>
        <v>Pass</v>
      </c>
    </row>
    <row r="33">
      <c r="A33" s="2">
        <v>32.0</v>
      </c>
      <c r="B33" s="2" t="s">
        <v>101</v>
      </c>
      <c r="C33" s="2" t="s">
        <v>102</v>
      </c>
      <c r="D33" s="2" t="s">
        <v>12</v>
      </c>
      <c r="E33" s="2">
        <v>13.0</v>
      </c>
      <c r="F33" s="2">
        <v>0.0</v>
      </c>
      <c r="G33" s="2">
        <v>33.0</v>
      </c>
      <c r="H33" s="2">
        <f t="shared" si="1"/>
        <v>46</v>
      </c>
      <c r="I33" s="3" t="str">
        <f t="shared" si="2"/>
        <v>F</v>
      </c>
      <c r="J33" s="3" t="str">
        <f t="shared" si="3"/>
        <v>Pass</v>
      </c>
    </row>
    <row r="34">
      <c r="A34" s="2">
        <v>33.0</v>
      </c>
      <c r="B34" s="2" t="s">
        <v>103</v>
      </c>
      <c r="C34" s="2" t="s">
        <v>104</v>
      </c>
      <c r="D34" s="2" t="s">
        <v>12</v>
      </c>
      <c r="E34" s="2">
        <v>11.0</v>
      </c>
      <c r="F34" s="2">
        <v>8.0</v>
      </c>
      <c r="G34" s="2">
        <v>22.0</v>
      </c>
      <c r="H34" s="2">
        <f t="shared" si="1"/>
        <v>41</v>
      </c>
      <c r="I34" s="3" t="str">
        <f t="shared" si="2"/>
        <v>F</v>
      </c>
      <c r="J34" s="3" t="str">
        <f t="shared" si="3"/>
        <v>Pass</v>
      </c>
    </row>
    <row r="35">
      <c r="A35" s="2">
        <v>34.0</v>
      </c>
      <c r="B35" s="2" t="s">
        <v>105</v>
      </c>
      <c r="C35" s="2" t="s">
        <v>106</v>
      </c>
      <c r="D35" s="2" t="s">
        <v>21</v>
      </c>
      <c r="E35" s="2">
        <v>20.0</v>
      </c>
      <c r="F35" s="2">
        <v>9.0</v>
      </c>
      <c r="G35" s="2">
        <v>51.0</v>
      </c>
      <c r="H35" s="2">
        <f t="shared" si="1"/>
        <v>80</v>
      </c>
      <c r="I35" s="3" t="str">
        <f t="shared" si="2"/>
        <v>C</v>
      </c>
      <c r="J35" s="3" t="str">
        <f t="shared" si="3"/>
        <v>Pass</v>
      </c>
    </row>
    <row r="36">
      <c r="A36" s="2">
        <v>35.0</v>
      </c>
      <c r="B36" s="2" t="s">
        <v>107</v>
      </c>
      <c r="C36" s="2" t="s">
        <v>108</v>
      </c>
      <c r="D36" s="2" t="s">
        <v>21</v>
      </c>
      <c r="E36" s="2">
        <v>11.0</v>
      </c>
      <c r="F36" s="2">
        <v>10.0</v>
      </c>
      <c r="G36" s="2">
        <v>9.0</v>
      </c>
      <c r="H36" s="2">
        <f t="shared" si="1"/>
        <v>30</v>
      </c>
      <c r="I36" s="3" t="str">
        <f t="shared" si="2"/>
        <v>F</v>
      </c>
      <c r="J36" s="3" t="str">
        <f t="shared" si="3"/>
        <v>Fail</v>
      </c>
    </row>
    <row r="37">
      <c r="A37" s="2">
        <v>36.0</v>
      </c>
      <c r="B37" s="2" t="s">
        <v>109</v>
      </c>
      <c r="C37" s="2" t="s">
        <v>110</v>
      </c>
      <c r="D37" s="2" t="s">
        <v>12</v>
      </c>
      <c r="E37" s="2">
        <v>25.0</v>
      </c>
      <c r="F37" s="2">
        <v>5.0</v>
      </c>
      <c r="G37" s="2">
        <v>1.0</v>
      </c>
      <c r="H37" s="2">
        <f t="shared" si="1"/>
        <v>31</v>
      </c>
      <c r="I37" s="3" t="str">
        <f t="shared" si="2"/>
        <v>F</v>
      </c>
      <c r="J37" s="3" t="str">
        <f t="shared" si="3"/>
        <v>Fail</v>
      </c>
    </row>
    <row r="38">
      <c r="A38" s="2">
        <v>37.0</v>
      </c>
      <c r="B38" s="2" t="s">
        <v>111</v>
      </c>
      <c r="C38" s="2" t="s">
        <v>112</v>
      </c>
      <c r="D38" s="2" t="s">
        <v>21</v>
      </c>
      <c r="E38" s="2">
        <v>10.0</v>
      </c>
      <c r="F38" s="2">
        <v>3.0</v>
      </c>
      <c r="G38" s="2">
        <v>25.0</v>
      </c>
      <c r="H38" s="2">
        <f t="shared" si="1"/>
        <v>38</v>
      </c>
      <c r="I38" s="3" t="str">
        <f t="shared" si="2"/>
        <v>F</v>
      </c>
      <c r="J38" s="3" t="str">
        <f t="shared" si="3"/>
        <v>Fail</v>
      </c>
    </row>
    <row r="39">
      <c r="A39" s="2">
        <v>38.0</v>
      </c>
      <c r="B39" s="2" t="s">
        <v>113</v>
      </c>
      <c r="C39" s="2" t="s">
        <v>114</v>
      </c>
      <c r="D39" s="2" t="s">
        <v>21</v>
      </c>
      <c r="E39" s="2">
        <v>23.0</v>
      </c>
      <c r="F39" s="2">
        <v>9.0</v>
      </c>
      <c r="G39" s="2">
        <v>14.0</v>
      </c>
      <c r="H39" s="2">
        <f t="shared" si="1"/>
        <v>46</v>
      </c>
      <c r="I39" s="3" t="str">
        <f t="shared" si="2"/>
        <v>F</v>
      </c>
      <c r="J39" s="3" t="str">
        <f t="shared" si="3"/>
        <v>Pass</v>
      </c>
    </row>
    <row r="40">
      <c r="A40" s="2">
        <v>39.0</v>
      </c>
      <c r="B40" s="2" t="s">
        <v>115</v>
      </c>
      <c r="C40" s="2" t="s">
        <v>116</v>
      </c>
      <c r="D40" s="2" t="s">
        <v>21</v>
      </c>
      <c r="E40" s="2">
        <v>23.0</v>
      </c>
      <c r="F40" s="2">
        <v>9.0</v>
      </c>
      <c r="G40" s="2">
        <v>41.0</v>
      </c>
      <c r="H40" s="2">
        <f t="shared" si="1"/>
        <v>73</v>
      </c>
      <c r="I40" s="3" t="str">
        <f t="shared" si="2"/>
        <v>C</v>
      </c>
      <c r="J40" s="3" t="str">
        <f t="shared" si="3"/>
        <v>Pass</v>
      </c>
    </row>
    <row r="41">
      <c r="A41" s="2">
        <v>40.0</v>
      </c>
      <c r="B41" s="2" t="s">
        <v>117</v>
      </c>
      <c r="C41" s="2" t="s">
        <v>118</v>
      </c>
      <c r="D41" s="2" t="s">
        <v>21</v>
      </c>
      <c r="E41" s="2">
        <v>23.0</v>
      </c>
      <c r="F41" s="2">
        <v>8.0</v>
      </c>
      <c r="G41" s="2">
        <v>35.0</v>
      </c>
      <c r="H41" s="2">
        <f t="shared" si="1"/>
        <v>66</v>
      </c>
      <c r="I41" s="3" t="str">
        <f t="shared" si="2"/>
        <v>D</v>
      </c>
      <c r="J41" s="3" t="str">
        <f t="shared" si="3"/>
        <v>Pass</v>
      </c>
    </row>
    <row r="42">
      <c r="A42" s="2">
        <v>41.0</v>
      </c>
      <c r="B42" s="2" t="s">
        <v>119</v>
      </c>
      <c r="C42" s="2" t="s">
        <v>120</v>
      </c>
      <c r="D42" s="2" t="s">
        <v>12</v>
      </c>
      <c r="E42" s="2">
        <v>22.0</v>
      </c>
      <c r="F42" s="2">
        <v>6.0</v>
      </c>
      <c r="G42" s="2">
        <v>60.0</v>
      </c>
      <c r="H42" s="2">
        <f t="shared" si="1"/>
        <v>88</v>
      </c>
      <c r="I42" s="3" t="str">
        <f t="shared" si="2"/>
        <v>B</v>
      </c>
      <c r="J42" s="3" t="str">
        <f t="shared" si="3"/>
        <v>Pass</v>
      </c>
    </row>
    <row r="43">
      <c r="A43" s="2">
        <v>42.0</v>
      </c>
      <c r="B43" s="2" t="s">
        <v>121</v>
      </c>
      <c r="C43" s="2" t="s">
        <v>122</v>
      </c>
      <c r="D43" s="2" t="s">
        <v>12</v>
      </c>
      <c r="E43" s="2">
        <v>24.0</v>
      </c>
      <c r="F43" s="2">
        <v>0.0</v>
      </c>
      <c r="G43" s="2">
        <v>33.0</v>
      </c>
      <c r="H43" s="2">
        <f t="shared" si="1"/>
        <v>57</v>
      </c>
      <c r="I43" s="3" t="str">
        <f t="shared" si="2"/>
        <v>E</v>
      </c>
      <c r="J43" s="3" t="str">
        <f t="shared" si="3"/>
        <v>Pass</v>
      </c>
    </row>
    <row r="44">
      <c r="A44" s="2">
        <v>43.0</v>
      </c>
      <c r="B44" s="2" t="s">
        <v>123</v>
      </c>
      <c r="C44" s="2" t="s">
        <v>124</v>
      </c>
      <c r="D44" s="2" t="s">
        <v>21</v>
      </c>
      <c r="E44" s="2">
        <v>8.0</v>
      </c>
      <c r="F44" s="2">
        <v>2.0</v>
      </c>
      <c r="G44" s="2">
        <v>57.0</v>
      </c>
      <c r="H44" s="2">
        <f t="shared" si="1"/>
        <v>67</v>
      </c>
      <c r="I44" s="3" t="str">
        <f t="shared" si="2"/>
        <v>D</v>
      </c>
      <c r="J44" s="3" t="str">
        <f t="shared" si="3"/>
        <v>Pass</v>
      </c>
    </row>
    <row r="45">
      <c r="A45" s="2">
        <v>44.0</v>
      </c>
      <c r="B45" s="2" t="s">
        <v>125</v>
      </c>
      <c r="C45" s="2" t="s">
        <v>126</v>
      </c>
      <c r="D45" s="2" t="s">
        <v>21</v>
      </c>
      <c r="E45" s="2">
        <v>0.0</v>
      </c>
      <c r="F45" s="2">
        <v>0.0</v>
      </c>
      <c r="G45" s="2">
        <v>1.0</v>
      </c>
      <c r="H45" s="2">
        <f t="shared" si="1"/>
        <v>1</v>
      </c>
      <c r="I45" s="3" t="str">
        <f t="shared" si="2"/>
        <v>F</v>
      </c>
      <c r="J45" s="3" t="str">
        <f t="shared" si="3"/>
        <v>Fail</v>
      </c>
    </row>
    <row r="46">
      <c r="A46" s="2">
        <v>45.0</v>
      </c>
      <c r="B46" s="2" t="s">
        <v>127</v>
      </c>
      <c r="C46" s="2" t="s">
        <v>128</v>
      </c>
      <c r="D46" s="2" t="s">
        <v>12</v>
      </c>
      <c r="E46" s="2">
        <v>23.0</v>
      </c>
      <c r="F46" s="2">
        <v>6.0</v>
      </c>
      <c r="G46" s="2">
        <v>45.0</v>
      </c>
      <c r="H46" s="2">
        <f t="shared" si="1"/>
        <v>74</v>
      </c>
      <c r="I46" s="3" t="str">
        <f t="shared" si="2"/>
        <v>C</v>
      </c>
      <c r="J46" s="3" t="str">
        <f t="shared" si="3"/>
        <v>Pass</v>
      </c>
    </row>
    <row r="47">
      <c r="A47" s="2">
        <v>46.0</v>
      </c>
      <c r="B47" s="2" t="s">
        <v>129</v>
      </c>
      <c r="C47" s="2" t="s">
        <v>130</v>
      </c>
      <c r="D47" s="2" t="s">
        <v>12</v>
      </c>
      <c r="E47" s="2">
        <v>5.0</v>
      </c>
      <c r="F47" s="2">
        <v>1.0</v>
      </c>
      <c r="G47" s="2">
        <v>11.0</v>
      </c>
      <c r="H47" s="2">
        <f t="shared" si="1"/>
        <v>17</v>
      </c>
      <c r="I47" s="3" t="str">
        <f t="shared" si="2"/>
        <v>F</v>
      </c>
      <c r="J47" s="3" t="str">
        <f t="shared" si="3"/>
        <v>Fail</v>
      </c>
    </row>
    <row r="48">
      <c r="A48" s="2">
        <v>47.0</v>
      </c>
      <c r="B48" s="2" t="s">
        <v>131</v>
      </c>
      <c r="C48" s="2" t="s">
        <v>132</v>
      </c>
      <c r="D48" s="2" t="s">
        <v>12</v>
      </c>
      <c r="E48" s="2">
        <v>13.0</v>
      </c>
      <c r="F48" s="2">
        <v>2.0</v>
      </c>
      <c r="G48" s="2">
        <v>37.0</v>
      </c>
      <c r="H48" s="2">
        <f t="shared" si="1"/>
        <v>52</v>
      </c>
      <c r="I48" s="3" t="str">
        <f t="shared" si="2"/>
        <v>E</v>
      </c>
      <c r="J48" s="3" t="str">
        <f t="shared" si="3"/>
        <v>Pass</v>
      </c>
    </row>
    <row r="49">
      <c r="A49" s="2">
        <v>48.0</v>
      </c>
      <c r="B49" s="2" t="s">
        <v>133</v>
      </c>
      <c r="C49" s="2" t="s">
        <v>134</v>
      </c>
      <c r="D49" s="2" t="s">
        <v>12</v>
      </c>
      <c r="E49" s="2">
        <v>11.0</v>
      </c>
      <c r="F49" s="2">
        <v>1.0</v>
      </c>
      <c r="G49" s="2">
        <v>21.0</v>
      </c>
      <c r="H49" s="2">
        <f t="shared" si="1"/>
        <v>33</v>
      </c>
      <c r="I49" s="3" t="str">
        <f t="shared" si="2"/>
        <v>F</v>
      </c>
      <c r="J49" s="3" t="str">
        <f t="shared" si="3"/>
        <v>Fail</v>
      </c>
    </row>
    <row r="50">
      <c r="A50" s="2">
        <v>49.0</v>
      </c>
      <c r="B50" s="2" t="s">
        <v>135</v>
      </c>
      <c r="C50" s="2" t="s">
        <v>136</v>
      </c>
      <c r="D50" s="2" t="s">
        <v>12</v>
      </c>
      <c r="E50" s="2">
        <v>3.0</v>
      </c>
      <c r="F50" s="2">
        <v>9.0</v>
      </c>
      <c r="G50" s="2">
        <v>1.0</v>
      </c>
      <c r="H50" s="2">
        <f t="shared" si="1"/>
        <v>13</v>
      </c>
      <c r="I50" s="3" t="str">
        <f t="shared" si="2"/>
        <v>F</v>
      </c>
      <c r="J50" s="3" t="str">
        <f t="shared" si="3"/>
        <v>Fail</v>
      </c>
    </row>
    <row r="51">
      <c r="A51" s="2">
        <v>50.0</v>
      </c>
      <c r="B51" s="2" t="s">
        <v>137</v>
      </c>
      <c r="C51" s="2" t="s">
        <v>138</v>
      </c>
      <c r="D51" s="2" t="s">
        <v>139</v>
      </c>
      <c r="E51" s="2">
        <v>20.0</v>
      </c>
      <c r="F51" s="2">
        <v>3.0</v>
      </c>
      <c r="G51" s="2">
        <v>21.0</v>
      </c>
      <c r="H51" s="2">
        <f t="shared" si="1"/>
        <v>44</v>
      </c>
      <c r="I51" s="3" t="str">
        <f t="shared" si="2"/>
        <v>F</v>
      </c>
      <c r="J51" s="3" t="str">
        <f t="shared" si="3"/>
        <v>Pass</v>
      </c>
    </row>
    <row r="52">
      <c r="A52" s="2">
        <v>51.0</v>
      </c>
      <c r="B52" s="2" t="s">
        <v>140</v>
      </c>
      <c r="C52" s="2" t="s">
        <v>141</v>
      </c>
      <c r="D52" s="2" t="s">
        <v>12</v>
      </c>
      <c r="E52" s="2">
        <v>15.0</v>
      </c>
      <c r="F52" s="2">
        <v>7.0</v>
      </c>
      <c r="G52" s="2">
        <v>41.0</v>
      </c>
      <c r="H52" s="2">
        <f t="shared" si="1"/>
        <v>63</v>
      </c>
      <c r="I52" s="3" t="str">
        <f t="shared" si="2"/>
        <v>D</v>
      </c>
      <c r="J52" s="3" t="str">
        <f t="shared" si="3"/>
        <v>Pass</v>
      </c>
    </row>
    <row r="53">
      <c r="A53" s="2">
        <v>52.0</v>
      </c>
      <c r="B53" s="2" t="s">
        <v>142</v>
      </c>
      <c r="C53" s="2" t="s">
        <v>143</v>
      </c>
      <c r="D53" s="2" t="s">
        <v>12</v>
      </c>
      <c r="E53" s="2">
        <v>27.0</v>
      </c>
      <c r="F53" s="2">
        <v>10.0</v>
      </c>
      <c r="G53" s="2">
        <v>13.0</v>
      </c>
      <c r="H53" s="2">
        <f t="shared" si="1"/>
        <v>50</v>
      </c>
      <c r="I53" s="3" t="str">
        <f t="shared" si="2"/>
        <v>F</v>
      </c>
      <c r="J53" s="3" t="str">
        <f t="shared" si="3"/>
        <v>Pass</v>
      </c>
    </row>
    <row r="54">
      <c r="A54" s="2">
        <v>53.0</v>
      </c>
      <c r="B54" s="2" t="s">
        <v>144</v>
      </c>
      <c r="C54" s="2" t="s">
        <v>145</v>
      </c>
      <c r="D54" s="2" t="s">
        <v>21</v>
      </c>
      <c r="E54" s="2">
        <v>2.0</v>
      </c>
      <c r="F54" s="2">
        <v>6.0</v>
      </c>
      <c r="G54" s="2">
        <v>49.0</v>
      </c>
      <c r="H54" s="2">
        <f t="shared" si="1"/>
        <v>57</v>
      </c>
      <c r="I54" s="3" t="str">
        <f t="shared" si="2"/>
        <v>E</v>
      </c>
      <c r="J54" s="3" t="str">
        <f t="shared" si="3"/>
        <v>Pass</v>
      </c>
    </row>
    <row r="55">
      <c r="A55" s="2">
        <v>54.0</v>
      </c>
      <c r="B55" s="2" t="s">
        <v>146</v>
      </c>
      <c r="C55" s="2" t="s">
        <v>147</v>
      </c>
      <c r="D55" s="2" t="s">
        <v>12</v>
      </c>
      <c r="E55" s="2">
        <v>1.0</v>
      </c>
      <c r="F55" s="2">
        <v>7.0</v>
      </c>
      <c r="G55" s="2">
        <v>57.0</v>
      </c>
      <c r="H55" s="2">
        <f t="shared" si="1"/>
        <v>65</v>
      </c>
      <c r="I55" s="3" t="str">
        <f t="shared" si="2"/>
        <v>D</v>
      </c>
      <c r="J55" s="3" t="str">
        <f t="shared" si="3"/>
        <v>Pass</v>
      </c>
    </row>
    <row r="56">
      <c r="A56" s="2">
        <v>55.0</v>
      </c>
      <c r="B56" s="2" t="s">
        <v>148</v>
      </c>
      <c r="C56" s="2" t="s">
        <v>149</v>
      </c>
      <c r="D56" s="2" t="s">
        <v>12</v>
      </c>
      <c r="E56" s="2">
        <v>23.0</v>
      </c>
      <c r="F56" s="2">
        <v>9.0</v>
      </c>
      <c r="G56" s="2">
        <v>25.0</v>
      </c>
      <c r="H56" s="2">
        <f t="shared" si="1"/>
        <v>57</v>
      </c>
      <c r="I56" s="3" t="str">
        <f t="shared" si="2"/>
        <v>E</v>
      </c>
      <c r="J56" s="3" t="str">
        <f t="shared" si="3"/>
        <v>Pass</v>
      </c>
    </row>
    <row r="57">
      <c r="A57" s="2">
        <v>56.0</v>
      </c>
      <c r="B57" s="2" t="s">
        <v>150</v>
      </c>
      <c r="C57" s="2" t="s">
        <v>151</v>
      </c>
      <c r="D57" s="2" t="s">
        <v>21</v>
      </c>
      <c r="E57" s="2">
        <v>18.0</v>
      </c>
      <c r="F57" s="2">
        <v>9.0</v>
      </c>
      <c r="G57" s="2">
        <v>6.0</v>
      </c>
      <c r="H57" s="2">
        <f t="shared" si="1"/>
        <v>33</v>
      </c>
      <c r="I57" s="3" t="str">
        <f t="shared" si="2"/>
        <v>F</v>
      </c>
      <c r="J57" s="3" t="str">
        <f t="shared" si="3"/>
        <v>Fail</v>
      </c>
    </row>
    <row r="58">
      <c r="A58" s="2">
        <v>57.0</v>
      </c>
      <c r="B58" s="2" t="s">
        <v>152</v>
      </c>
      <c r="C58" s="2" t="s">
        <v>153</v>
      </c>
      <c r="D58" s="2" t="s">
        <v>21</v>
      </c>
      <c r="E58" s="2">
        <v>13.0</v>
      </c>
      <c r="F58" s="2">
        <v>7.0</v>
      </c>
      <c r="G58" s="2">
        <v>17.0</v>
      </c>
      <c r="H58" s="2">
        <f t="shared" si="1"/>
        <v>37</v>
      </c>
      <c r="I58" s="3" t="str">
        <f t="shared" si="2"/>
        <v>F</v>
      </c>
      <c r="J58" s="3" t="str">
        <f t="shared" si="3"/>
        <v>Fail</v>
      </c>
    </row>
    <row r="59">
      <c r="A59" s="2">
        <v>58.0</v>
      </c>
      <c r="B59" s="2" t="s">
        <v>154</v>
      </c>
      <c r="C59" s="2" t="s">
        <v>155</v>
      </c>
      <c r="D59" s="2" t="s">
        <v>21</v>
      </c>
      <c r="E59" s="2">
        <v>28.0</v>
      </c>
      <c r="F59" s="2">
        <v>9.0</v>
      </c>
      <c r="G59" s="2">
        <v>24.0</v>
      </c>
      <c r="H59" s="2">
        <f t="shared" si="1"/>
        <v>61</v>
      </c>
      <c r="I59" s="3" t="str">
        <f t="shared" si="2"/>
        <v>D</v>
      </c>
      <c r="J59" s="3" t="str">
        <f t="shared" si="3"/>
        <v>Pass</v>
      </c>
    </row>
    <row r="60">
      <c r="A60" s="2">
        <v>59.0</v>
      </c>
      <c r="B60" s="2" t="s">
        <v>156</v>
      </c>
      <c r="C60" s="2" t="s">
        <v>157</v>
      </c>
      <c r="D60" s="2" t="s">
        <v>12</v>
      </c>
      <c r="E60" s="2">
        <v>19.0</v>
      </c>
      <c r="F60" s="2">
        <v>4.0</v>
      </c>
      <c r="G60" s="2">
        <v>35.0</v>
      </c>
      <c r="H60" s="2">
        <f t="shared" si="1"/>
        <v>58</v>
      </c>
      <c r="I60" s="3" t="str">
        <f t="shared" si="2"/>
        <v>E</v>
      </c>
      <c r="J60" s="3" t="str">
        <f t="shared" si="3"/>
        <v>Pass</v>
      </c>
    </row>
    <row r="61">
      <c r="A61" s="2">
        <v>60.0</v>
      </c>
      <c r="B61" s="2" t="s">
        <v>158</v>
      </c>
      <c r="C61" s="2" t="s">
        <v>159</v>
      </c>
      <c r="D61" s="2" t="s">
        <v>21</v>
      </c>
      <c r="E61" s="2">
        <v>0.0</v>
      </c>
      <c r="F61" s="2">
        <v>6.0</v>
      </c>
      <c r="G61" s="2">
        <v>15.0</v>
      </c>
      <c r="H61" s="2">
        <f t="shared" si="1"/>
        <v>21</v>
      </c>
      <c r="I61" s="3" t="str">
        <f t="shared" si="2"/>
        <v>F</v>
      </c>
      <c r="J61" s="3" t="str">
        <f t="shared" si="3"/>
        <v>Fail</v>
      </c>
    </row>
    <row r="62">
      <c r="A62" s="2">
        <v>61.0</v>
      </c>
      <c r="B62" s="2" t="s">
        <v>160</v>
      </c>
      <c r="C62" s="2" t="s">
        <v>161</v>
      </c>
      <c r="D62" s="2" t="s">
        <v>21</v>
      </c>
      <c r="E62" s="2">
        <v>24.0</v>
      </c>
      <c r="F62" s="2">
        <v>6.0</v>
      </c>
      <c r="G62" s="2">
        <v>49.0</v>
      </c>
      <c r="H62" s="2">
        <f t="shared" si="1"/>
        <v>79</v>
      </c>
      <c r="I62" s="3" t="str">
        <f t="shared" si="2"/>
        <v>C</v>
      </c>
      <c r="J62" s="3" t="str">
        <f t="shared" si="3"/>
        <v>Pass</v>
      </c>
    </row>
    <row r="63">
      <c r="A63" s="2">
        <v>62.0</v>
      </c>
      <c r="B63" s="2" t="s">
        <v>162</v>
      </c>
      <c r="C63" s="2" t="s">
        <v>163</v>
      </c>
      <c r="D63" s="2" t="s">
        <v>12</v>
      </c>
      <c r="E63" s="2">
        <v>23.0</v>
      </c>
      <c r="F63" s="2">
        <v>3.0</v>
      </c>
      <c r="G63" s="2">
        <v>57.0</v>
      </c>
      <c r="H63" s="2">
        <f t="shared" si="1"/>
        <v>83</v>
      </c>
      <c r="I63" s="3" t="str">
        <f t="shared" si="2"/>
        <v>B</v>
      </c>
      <c r="J63" s="3" t="str">
        <f t="shared" si="3"/>
        <v>Pass</v>
      </c>
    </row>
    <row r="64">
      <c r="A64" s="2">
        <v>63.0</v>
      </c>
      <c r="B64" s="2" t="s">
        <v>164</v>
      </c>
      <c r="C64" s="2" t="s">
        <v>165</v>
      </c>
      <c r="D64" s="2" t="s">
        <v>21</v>
      </c>
      <c r="E64" s="2">
        <v>22.0</v>
      </c>
      <c r="F64" s="2">
        <v>1.0</v>
      </c>
      <c r="G64" s="2">
        <v>20.0</v>
      </c>
      <c r="H64" s="2">
        <f t="shared" si="1"/>
        <v>43</v>
      </c>
      <c r="I64" s="3" t="str">
        <f t="shared" si="2"/>
        <v>F</v>
      </c>
      <c r="J64" s="3" t="str">
        <f t="shared" si="3"/>
        <v>Pass</v>
      </c>
    </row>
    <row r="65">
      <c r="A65" s="2">
        <v>64.0</v>
      </c>
      <c r="B65" s="2" t="s">
        <v>166</v>
      </c>
      <c r="C65" s="2" t="s">
        <v>167</v>
      </c>
      <c r="D65" s="2" t="s">
        <v>21</v>
      </c>
      <c r="E65" s="2">
        <v>4.0</v>
      </c>
      <c r="F65" s="2">
        <v>5.0</v>
      </c>
      <c r="G65" s="2">
        <v>11.0</v>
      </c>
      <c r="H65" s="2">
        <f t="shared" si="1"/>
        <v>20</v>
      </c>
      <c r="I65" s="3" t="str">
        <f t="shared" si="2"/>
        <v>F</v>
      </c>
      <c r="J65" s="3" t="str">
        <f t="shared" si="3"/>
        <v>Fail</v>
      </c>
    </row>
    <row r="66">
      <c r="A66" s="2">
        <v>65.0</v>
      </c>
      <c r="B66" s="2" t="s">
        <v>168</v>
      </c>
      <c r="C66" s="2" t="s">
        <v>169</v>
      </c>
      <c r="D66" s="2" t="s">
        <v>12</v>
      </c>
      <c r="E66" s="2">
        <v>24.0</v>
      </c>
      <c r="F66" s="2">
        <v>0.0</v>
      </c>
      <c r="G66" s="2">
        <v>25.0</v>
      </c>
      <c r="H66" s="2">
        <f t="shared" si="1"/>
        <v>49</v>
      </c>
      <c r="I66" s="3" t="str">
        <f t="shared" si="2"/>
        <v>F</v>
      </c>
      <c r="J66" s="3" t="str">
        <f t="shared" si="3"/>
        <v>Pass</v>
      </c>
    </row>
    <row r="67">
      <c r="A67" s="2">
        <v>66.0</v>
      </c>
      <c r="B67" s="2" t="s">
        <v>170</v>
      </c>
      <c r="C67" s="2" t="s">
        <v>171</v>
      </c>
      <c r="D67" s="2" t="s">
        <v>172</v>
      </c>
      <c r="E67" s="2">
        <v>22.0</v>
      </c>
      <c r="F67" s="2">
        <v>5.0</v>
      </c>
      <c r="G67" s="2">
        <v>38.0</v>
      </c>
      <c r="H67" s="2">
        <f t="shared" si="1"/>
        <v>65</v>
      </c>
      <c r="I67" s="3" t="str">
        <f t="shared" si="2"/>
        <v>D</v>
      </c>
      <c r="J67" s="3" t="str">
        <f t="shared" si="3"/>
        <v>Pass</v>
      </c>
    </row>
    <row r="68">
      <c r="A68" s="2">
        <v>67.0</v>
      </c>
      <c r="B68" s="2" t="s">
        <v>173</v>
      </c>
      <c r="C68" s="2" t="s">
        <v>174</v>
      </c>
      <c r="D68" s="2" t="s">
        <v>12</v>
      </c>
      <c r="E68" s="2">
        <v>17.0</v>
      </c>
      <c r="F68" s="2">
        <v>0.0</v>
      </c>
      <c r="G68" s="2">
        <v>6.0</v>
      </c>
      <c r="H68" s="2">
        <f t="shared" si="1"/>
        <v>23</v>
      </c>
      <c r="I68" s="3" t="str">
        <f t="shared" si="2"/>
        <v>F</v>
      </c>
      <c r="J68" s="3" t="str">
        <f t="shared" si="3"/>
        <v>Fail</v>
      </c>
    </row>
    <row r="69">
      <c r="A69" s="2">
        <v>68.0</v>
      </c>
      <c r="B69" s="2" t="s">
        <v>175</v>
      </c>
      <c r="C69" s="2" t="s">
        <v>176</v>
      </c>
      <c r="D69" s="2" t="s">
        <v>12</v>
      </c>
      <c r="E69" s="2">
        <v>2.0</v>
      </c>
      <c r="F69" s="2">
        <v>10.0</v>
      </c>
      <c r="G69" s="2">
        <v>20.0</v>
      </c>
      <c r="H69" s="2">
        <f t="shared" si="1"/>
        <v>32</v>
      </c>
      <c r="I69" s="3" t="str">
        <f t="shared" si="2"/>
        <v>F</v>
      </c>
      <c r="J69" s="3" t="str">
        <f t="shared" si="3"/>
        <v>Fail</v>
      </c>
    </row>
    <row r="70">
      <c r="A70" s="2">
        <v>69.0</v>
      </c>
      <c r="B70" s="2" t="s">
        <v>177</v>
      </c>
      <c r="C70" s="2" t="s">
        <v>178</v>
      </c>
      <c r="D70" s="2" t="s">
        <v>21</v>
      </c>
      <c r="E70" s="2">
        <v>10.0</v>
      </c>
      <c r="F70" s="2">
        <v>2.0</v>
      </c>
      <c r="G70" s="2">
        <v>14.0</v>
      </c>
      <c r="H70" s="2">
        <f t="shared" si="1"/>
        <v>26</v>
      </c>
      <c r="I70" s="3" t="str">
        <f t="shared" si="2"/>
        <v>F</v>
      </c>
      <c r="J70" s="3" t="str">
        <f t="shared" si="3"/>
        <v>Fail</v>
      </c>
    </row>
    <row r="71">
      <c r="A71" s="2">
        <v>70.0</v>
      </c>
      <c r="B71" s="2" t="s">
        <v>179</v>
      </c>
      <c r="C71" s="2" t="s">
        <v>180</v>
      </c>
      <c r="D71" s="2" t="s">
        <v>172</v>
      </c>
      <c r="E71" s="2">
        <v>1.0</v>
      </c>
      <c r="F71" s="2">
        <v>6.0</v>
      </c>
      <c r="G71" s="2">
        <v>46.0</v>
      </c>
      <c r="H71" s="2">
        <f t="shared" si="1"/>
        <v>53</v>
      </c>
      <c r="I71" s="3" t="str">
        <f t="shared" si="2"/>
        <v>E</v>
      </c>
      <c r="J71" s="3" t="str">
        <f t="shared" si="3"/>
        <v>Pass</v>
      </c>
    </row>
    <row r="72">
      <c r="A72" s="2">
        <v>71.0</v>
      </c>
      <c r="B72" s="2" t="s">
        <v>181</v>
      </c>
      <c r="C72" s="2" t="s">
        <v>182</v>
      </c>
      <c r="D72" s="2" t="s">
        <v>21</v>
      </c>
      <c r="E72" s="2">
        <v>2.0</v>
      </c>
      <c r="F72" s="2">
        <v>8.0</v>
      </c>
      <c r="G72" s="2">
        <v>36.0</v>
      </c>
      <c r="H72" s="2">
        <f t="shared" si="1"/>
        <v>46</v>
      </c>
      <c r="I72" s="3" t="str">
        <f t="shared" si="2"/>
        <v>F</v>
      </c>
      <c r="J72" s="3" t="str">
        <f t="shared" si="3"/>
        <v>Pass</v>
      </c>
    </row>
    <row r="73">
      <c r="A73" s="2">
        <v>72.0</v>
      </c>
      <c r="B73" s="2" t="s">
        <v>183</v>
      </c>
      <c r="C73" s="2" t="s">
        <v>184</v>
      </c>
      <c r="D73" s="2" t="s">
        <v>12</v>
      </c>
      <c r="E73" s="2">
        <v>25.0</v>
      </c>
      <c r="F73" s="2">
        <v>4.0</v>
      </c>
      <c r="G73" s="2">
        <v>1.0</v>
      </c>
      <c r="H73" s="2">
        <f t="shared" si="1"/>
        <v>30</v>
      </c>
      <c r="I73" s="3" t="str">
        <f t="shared" si="2"/>
        <v>F</v>
      </c>
      <c r="J73" s="3" t="str">
        <f t="shared" si="3"/>
        <v>Fail</v>
      </c>
    </row>
    <row r="74">
      <c r="A74" s="2">
        <v>73.0</v>
      </c>
      <c r="B74" s="2" t="s">
        <v>185</v>
      </c>
      <c r="C74" s="2" t="s">
        <v>186</v>
      </c>
      <c r="D74" s="2" t="s">
        <v>21</v>
      </c>
      <c r="E74" s="2">
        <v>22.0</v>
      </c>
      <c r="F74" s="2">
        <v>9.0</v>
      </c>
      <c r="G74" s="2">
        <v>37.0</v>
      </c>
      <c r="H74" s="2">
        <f t="shared" si="1"/>
        <v>68</v>
      </c>
      <c r="I74" s="3" t="str">
        <f t="shared" si="2"/>
        <v>D</v>
      </c>
      <c r="J74" s="3" t="str">
        <f t="shared" si="3"/>
        <v>Pass</v>
      </c>
    </row>
    <row r="75">
      <c r="A75" s="2">
        <v>74.0</v>
      </c>
      <c r="B75" s="2" t="s">
        <v>187</v>
      </c>
      <c r="C75" s="2" t="s">
        <v>188</v>
      </c>
      <c r="D75" s="2" t="s">
        <v>12</v>
      </c>
      <c r="E75" s="2">
        <v>24.0</v>
      </c>
      <c r="F75" s="2">
        <v>7.0</v>
      </c>
      <c r="G75" s="2">
        <v>45.0</v>
      </c>
      <c r="H75" s="2">
        <f t="shared" si="1"/>
        <v>76</v>
      </c>
      <c r="I75" s="3" t="str">
        <f t="shared" si="2"/>
        <v>C</v>
      </c>
      <c r="J75" s="3" t="str">
        <f t="shared" si="3"/>
        <v>Pass</v>
      </c>
    </row>
    <row r="76">
      <c r="A76" s="2">
        <v>75.0</v>
      </c>
      <c r="B76" s="2" t="s">
        <v>189</v>
      </c>
      <c r="C76" s="2" t="s">
        <v>190</v>
      </c>
      <c r="D76" s="2" t="s">
        <v>12</v>
      </c>
      <c r="E76" s="2">
        <v>30.0</v>
      </c>
      <c r="F76" s="2">
        <v>0.0</v>
      </c>
      <c r="G76" s="2">
        <v>12.0</v>
      </c>
      <c r="H76" s="2">
        <f t="shared" si="1"/>
        <v>42</v>
      </c>
      <c r="I76" s="3" t="str">
        <f t="shared" si="2"/>
        <v>F</v>
      </c>
      <c r="J76" s="3" t="str">
        <f t="shared" si="3"/>
        <v>Pass</v>
      </c>
    </row>
    <row r="77">
      <c r="A77" s="2">
        <v>76.0</v>
      </c>
      <c r="B77" s="2" t="s">
        <v>191</v>
      </c>
      <c r="C77" s="2" t="s">
        <v>192</v>
      </c>
      <c r="D77" s="2" t="s">
        <v>12</v>
      </c>
      <c r="E77" s="2">
        <v>30.0</v>
      </c>
      <c r="F77" s="2">
        <v>9.0</v>
      </c>
      <c r="G77" s="2">
        <v>32.0</v>
      </c>
      <c r="H77" s="2">
        <f t="shared" si="1"/>
        <v>71</v>
      </c>
      <c r="I77" s="3" t="str">
        <f t="shared" si="2"/>
        <v>C</v>
      </c>
      <c r="J77" s="3" t="str">
        <f t="shared" si="3"/>
        <v>Pass</v>
      </c>
    </row>
    <row r="78">
      <c r="A78" s="2">
        <v>77.0</v>
      </c>
      <c r="B78" s="2" t="s">
        <v>193</v>
      </c>
      <c r="C78" s="2" t="s">
        <v>194</v>
      </c>
      <c r="D78" s="2" t="s">
        <v>21</v>
      </c>
      <c r="E78" s="2">
        <v>22.0</v>
      </c>
      <c r="F78" s="2">
        <v>8.0</v>
      </c>
      <c r="G78" s="2">
        <v>19.0</v>
      </c>
      <c r="H78" s="2">
        <f t="shared" si="1"/>
        <v>49</v>
      </c>
      <c r="I78" s="3" t="str">
        <f t="shared" si="2"/>
        <v>F</v>
      </c>
      <c r="J78" s="3" t="str">
        <f t="shared" si="3"/>
        <v>Pass</v>
      </c>
    </row>
    <row r="79">
      <c r="A79" s="2">
        <v>78.0</v>
      </c>
      <c r="B79" s="2" t="s">
        <v>195</v>
      </c>
      <c r="C79" s="2" t="s">
        <v>196</v>
      </c>
      <c r="D79" s="2" t="s">
        <v>21</v>
      </c>
      <c r="E79" s="2">
        <v>13.0</v>
      </c>
      <c r="F79" s="2">
        <v>6.0</v>
      </c>
      <c r="G79" s="2">
        <v>6.0</v>
      </c>
      <c r="H79" s="2">
        <f t="shared" si="1"/>
        <v>25</v>
      </c>
      <c r="I79" s="3" t="str">
        <f t="shared" si="2"/>
        <v>F</v>
      </c>
      <c r="J79" s="3" t="str">
        <f t="shared" si="3"/>
        <v>Fail</v>
      </c>
    </row>
    <row r="80">
      <c r="A80" s="2">
        <v>79.0</v>
      </c>
      <c r="B80" s="2" t="s">
        <v>197</v>
      </c>
      <c r="C80" s="2" t="s">
        <v>198</v>
      </c>
      <c r="D80" s="2" t="s">
        <v>21</v>
      </c>
      <c r="E80" s="2">
        <v>9.0</v>
      </c>
      <c r="F80" s="2">
        <v>7.0</v>
      </c>
      <c r="G80" s="2">
        <v>35.0</v>
      </c>
      <c r="H80" s="2">
        <f t="shared" si="1"/>
        <v>51</v>
      </c>
      <c r="I80" s="3" t="str">
        <f t="shared" si="2"/>
        <v>E</v>
      </c>
      <c r="J80" s="3" t="str">
        <f t="shared" si="3"/>
        <v>Pass</v>
      </c>
    </row>
    <row r="81">
      <c r="A81" s="2">
        <v>80.0</v>
      </c>
      <c r="B81" s="2" t="s">
        <v>199</v>
      </c>
      <c r="C81" s="2" t="s">
        <v>200</v>
      </c>
      <c r="D81" s="2" t="s">
        <v>139</v>
      </c>
      <c r="E81" s="2">
        <v>20.0</v>
      </c>
      <c r="F81" s="2">
        <v>1.0</v>
      </c>
      <c r="G81" s="2">
        <v>21.0</v>
      </c>
      <c r="H81" s="2">
        <f t="shared" si="1"/>
        <v>42</v>
      </c>
      <c r="I81" s="3" t="str">
        <f t="shared" si="2"/>
        <v>F</v>
      </c>
      <c r="J81" s="3" t="str">
        <f t="shared" si="3"/>
        <v>Pass</v>
      </c>
    </row>
    <row r="82">
      <c r="A82" s="2">
        <v>81.0</v>
      </c>
      <c r="B82" s="2" t="s">
        <v>201</v>
      </c>
      <c r="C82" s="2" t="s">
        <v>202</v>
      </c>
      <c r="D82" s="2" t="s">
        <v>12</v>
      </c>
      <c r="E82" s="2">
        <v>11.0</v>
      </c>
      <c r="F82" s="2">
        <v>9.0</v>
      </c>
      <c r="G82" s="2">
        <v>36.0</v>
      </c>
      <c r="H82" s="2">
        <f t="shared" si="1"/>
        <v>56</v>
      </c>
      <c r="I82" s="3" t="str">
        <f t="shared" si="2"/>
        <v>E</v>
      </c>
      <c r="J82" s="3" t="str">
        <f t="shared" si="3"/>
        <v>Pass</v>
      </c>
    </row>
    <row r="83">
      <c r="A83" s="2">
        <v>82.0</v>
      </c>
      <c r="B83" s="2" t="s">
        <v>203</v>
      </c>
      <c r="C83" s="2" t="s">
        <v>204</v>
      </c>
      <c r="D83" s="2" t="s">
        <v>12</v>
      </c>
      <c r="E83" s="2">
        <v>12.0</v>
      </c>
      <c r="F83" s="2">
        <v>6.0</v>
      </c>
      <c r="G83" s="2">
        <v>20.0</v>
      </c>
      <c r="H83" s="2">
        <f t="shared" si="1"/>
        <v>38</v>
      </c>
      <c r="I83" s="3" t="str">
        <f t="shared" si="2"/>
        <v>F</v>
      </c>
      <c r="J83" s="3" t="str">
        <f t="shared" si="3"/>
        <v>Fail</v>
      </c>
    </row>
    <row r="84">
      <c r="A84" s="2">
        <v>83.0</v>
      </c>
      <c r="B84" s="2" t="s">
        <v>205</v>
      </c>
      <c r="C84" s="2" t="s">
        <v>206</v>
      </c>
      <c r="D84" s="2" t="s">
        <v>207</v>
      </c>
      <c r="E84" s="2">
        <v>11.0</v>
      </c>
      <c r="F84" s="2">
        <v>3.0</v>
      </c>
      <c r="G84" s="2">
        <v>35.0</v>
      </c>
      <c r="H84" s="2">
        <f t="shared" si="1"/>
        <v>49</v>
      </c>
      <c r="I84" s="3" t="str">
        <f t="shared" si="2"/>
        <v>F</v>
      </c>
      <c r="J84" s="3" t="str">
        <f t="shared" si="3"/>
        <v>Pass</v>
      </c>
    </row>
    <row r="85">
      <c r="A85" s="2">
        <v>84.0</v>
      </c>
      <c r="B85" s="2" t="s">
        <v>208</v>
      </c>
      <c r="C85" s="2" t="s">
        <v>209</v>
      </c>
      <c r="D85" s="2" t="s">
        <v>12</v>
      </c>
      <c r="E85" s="2">
        <v>16.0</v>
      </c>
      <c r="F85" s="2">
        <v>5.0</v>
      </c>
      <c r="G85" s="2">
        <v>59.0</v>
      </c>
      <c r="H85" s="2">
        <f t="shared" si="1"/>
        <v>80</v>
      </c>
      <c r="I85" s="3" t="str">
        <f t="shared" si="2"/>
        <v>C</v>
      </c>
      <c r="J85" s="3" t="str">
        <f t="shared" si="3"/>
        <v>Pass</v>
      </c>
    </row>
    <row r="86">
      <c r="A86" s="2">
        <v>85.0</v>
      </c>
      <c r="B86" s="2" t="s">
        <v>210</v>
      </c>
      <c r="C86" s="2" t="s">
        <v>211</v>
      </c>
      <c r="D86" s="2" t="s">
        <v>12</v>
      </c>
      <c r="E86" s="2">
        <v>17.0</v>
      </c>
      <c r="F86" s="2">
        <v>4.0</v>
      </c>
      <c r="G86" s="2">
        <v>53.0</v>
      </c>
      <c r="H86" s="2">
        <f t="shared" si="1"/>
        <v>74</v>
      </c>
      <c r="I86" s="3" t="str">
        <f t="shared" si="2"/>
        <v>C</v>
      </c>
      <c r="J86" s="3" t="str">
        <f t="shared" si="3"/>
        <v>Pass</v>
      </c>
    </row>
    <row r="87">
      <c r="A87" s="2">
        <v>86.0</v>
      </c>
      <c r="B87" s="2" t="s">
        <v>212</v>
      </c>
      <c r="C87" s="2" t="s">
        <v>213</v>
      </c>
      <c r="D87" s="2" t="s">
        <v>21</v>
      </c>
      <c r="E87" s="2">
        <v>10.0</v>
      </c>
      <c r="F87" s="2">
        <v>3.0</v>
      </c>
      <c r="G87" s="2">
        <v>14.0</v>
      </c>
      <c r="H87" s="2">
        <f t="shared" si="1"/>
        <v>27</v>
      </c>
      <c r="I87" s="3" t="str">
        <f t="shared" si="2"/>
        <v>F</v>
      </c>
      <c r="J87" s="3" t="str">
        <f t="shared" si="3"/>
        <v>Fail</v>
      </c>
    </row>
    <row r="88">
      <c r="A88" s="2">
        <v>87.0</v>
      </c>
      <c r="B88" s="2" t="s">
        <v>214</v>
      </c>
      <c r="C88" s="2" t="s">
        <v>215</v>
      </c>
      <c r="D88" s="2" t="s">
        <v>12</v>
      </c>
      <c r="E88" s="2">
        <v>22.0</v>
      </c>
      <c r="F88" s="2">
        <v>3.0</v>
      </c>
      <c r="G88" s="2">
        <v>56.0</v>
      </c>
      <c r="H88" s="2">
        <f t="shared" si="1"/>
        <v>81</v>
      </c>
      <c r="I88" s="3" t="str">
        <f t="shared" si="2"/>
        <v>B</v>
      </c>
      <c r="J88" s="3" t="str">
        <f t="shared" si="3"/>
        <v>Pass</v>
      </c>
    </row>
    <row r="89">
      <c r="A89" s="2">
        <v>88.0</v>
      </c>
      <c r="B89" s="2" t="s">
        <v>216</v>
      </c>
      <c r="C89" s="2" t="s">
        <v>217</v>
      </c>
      <c r="D89" s="2" t="s">
        <v>12</v>
      </c>
      <c r="E89" s="2">
        <v>4.0</v>
      </c>
      <c r="F89" s="2">
        <v>8.0</v>
      </c>
      <c r="G89" s="2">
        <v>34.0</v>
      </c>
      <c r="H89" s="2">
        <f t="shared" si="1"/>
        <v>46</v>
      </c>
      <c r="I89" s="3" t="str">
        <f t="shared" si="2"/>
        <v>F</v>
      </c>
      <c r="J89" s="3" t="str">
        <f t="shared" si="3"/>
        <v>Pass</v>
      </c>
    </row>
    <row r="90">
      <c r="A90" s="2">
        <v>89.0</v>
      </c>
      <c r="B90" s="2" t="s">
        <v>218</v>
      </c>
      <c r="C90" s="2" t="s">
        <v>219</v>
      </c>
      <c r="D90" s="2" t="s">
        <v>21</v>
      </c>
      <c r="E90" s="2">
        <v>2.0</v>
      </c>
      <c r="F90" s="2">
        <v>10.0</v>
      </c>
      <c r="G90" s="2">
        <v>28.0</v>
      </c>
      <c r="H90" s="2">
        <f t="shared" si="1"/>
        <v>40</v>
      </c>
      <c r="I90" s="3" t="str">
        <f t="shared" si="2"/>
        <v>F</v>
      </c>
      <c r="J90" s="3" t="str">
        <f t="shared" si="3"/>
        <v>Fail</v>
      </c>
    </row>
    <row r="91">
      <c r="A91" s="2">
        <v>90.0</v>
      </c>
      <c r="B91" s="2" t="s">
        <v>220</v>
      </c>
      <c r="C91" s="2" t="s">
        <v>221</v>
      </c>
      <c r="D91" s="2" t="s">
        <v>12</v>
      </c>
      <c r="E91" s="2">
        <v>16.0</v>
      </c>
      <c r="F91" s="2">
        <v>1.0</v>
      </c>
      <c r="G91" s="2">
        <v>56.0</v>
      </c>
      <c r="H91" s="2">
        <f t="shared" si="1"/>
        <v>73</v>
      </c>
      <c r="I91" s="3" t="str">
        <f t="shared" si="2"/>
        <v>C</v>
      </c>
      <c r="J91" s="3" t="str">
        <f t="shared" si="3"/>
        <v>Pass</v>
      </c>
    </row>
    <row r="92">
      <c r="A92" s="2">
        <v>91.0</v>
      </c>
      <c r="B92" s="2" t="s">
        <v>222</v>
      </c>
      <c r="C92" s="2" t="s">
        <v>223</v>
      </c>
      <c r="D92" s="2" t="s">
        <v>21</v>
      </c>
      <c r="E92" s="2">
        <v>18.0</v>
      </c>
      <c r="F92" s="2">
        <v>7.0</v>
      </c>
      <c r="G92" s="2">
        <v>17.0</v>
      </c>
      <c r="H92" s="2">
        <f t="shared" si="1"/>
        <v>42</v>
      </c>
      <c r="I92" s="3" t="str">
        <f t="shared" si="2"/>
        <v>F</v>
      </c>
      <c r="J92" s="3" t="str">
        <f t="shared" si="3"/>
        <v>Pass</v>
      </c>
    </row>
    <row r="93">
      <c r="A93" s="2">
        <v>92.0</v>
      </c>
      <c r="B93" s="2" t="s">
        <v>224</v>
      </c>
      <c r="C93" s="2" t="s">
        <v>225</v>
      </c>
      <c r="D93" s="2" t="s">
        <v>12</v>
      </c>
      <c r="E93" s="2">
        <v>23.0</v>
      </c>
      <c r="F93" s="2">
        <v>10.0</v>
      </c>
      <c r="G93" s="2">
        <v>32.0</v>
      </c>
      <c r="H93" s="2">
        <f t="shared" si="1"/>
        <v>65</v>
      </c>
      <c r="I93" s="3" t="str">
        <f t="shared" si="2"/>
        <v>D</v>
      </c>
      <c r="J93" s="3" t="str">
        <f t="shared" si="3"/>
        <v>Pass</v>
      </c>
    </row>
    <row r="94">
      <c r="A94" s="2">
        <v>93.0</v>
      </c>
      <c r="B94" s="2" t="s">
        <v>226</v>
      </c>
      <c r="C94" s="2" t="s">
        <v>227</v>
      </c>
      <c r="D94" s="2" t="s">
        <v>12</v>
      </c>
      <c r="E94" s="2">
        <v>17.0</v>
      </c>
      <c r="F94" s="2">
        <v>3.0</v>
      </c>
      <c r="G94" s="2">
        <v>49.0</v>
      </c>
      <c r="H94" s="2">
        <f t="shared" si="1"/>
        <v>69</v>
      </c>
      <c r="I94" s="3" t="str">
        <f t="shared" si="2"/>
        <v>D</v>
      </c>
      <c r="J94" s="3" t="str">
        <f t="shared" si="3"/>
        <v>Pass</v>
      </c>
    </row>
    <row r="95">
      <c r="A95" s="2">
        <v>94.0</v>
      </c>
      <c r="B95" s="2" t="s">
        <v>228</v>
      </c>
      <c r="C95" s="2" t="s">
        <v>229</v>
      </c>
      <c r="D95" s="2" t="s">
        <v>21</v>
      </c>
      <c r="E95" s="2">
        <v>28.0</v>
      </c>
      <c r="F95" s="2">
        <v>7.0</v>
      </c>
      <c r="G95" s="2">
        <v>33.0</v>
      </c>
      <c r="H95" s="2">
        <f t="shared" si="1"/>
        <v>68</v>
      </c>
      <c r="I95" s="3" t="str">
        <f t="shared" si="2"/>
        <v>D</v>
      </c>
      <c r="J95" s="3" t="str">
        <f t="shared" si="3"/>
        <v>Pass</v>
      </c>
    </row>
    <row r="96">
      <c r="A96" s="2">
        <v>95.0</v>
      </c>
      <c r="B96" s="2" t="s">
        <v>230</v>
      </c>
      <c r="C96" s="2" t="s">
        <v>231</v>
      </c>
      <c r="D96" s="2" t="s">
        <v>21</v>
      </c>
      <c r="E96" s="2">
        <v>24.0</v>
      </c>
      <c r="F96" s="2">
        <v>4.0</v>
      </c>
      <c r="G96" s="2">
        <v>33.0</v>
      </c>
      <c r="H96" s="2">
        <f t="shared" si="1"/>
        <v>61</v>
      </c>
      <c r="I96" s="3" t="str">
        <f t="shared" si="2"/>
        <v>D</v>
      </c>
      <c r="J96" s="3" t="str">
        <f t="shared" si="3"/>
        <v>Pass</v>
      </c>
    </row>
    <row r="97">
      <c r="A97" s="2">
        <v>96.0</v>
      </c>
      <c r="B97" s="2" t="s">
        <v>232</v>
      </c>
      <c r="C97" s="2" t="s">
        <v>233</v>
      </c>
      <c r="D97" s="2" t="s">
        <v>12</v>
      </c>
      <c r="E97" s="2">
        <v>18.0</v>
      </c>
      <c r="F97" s="2">
        <v>7.0</v>
      </c>
      <c r="G97" s="2">
        <v>23.0</v>
      </c>
      <c r="H97" s="2">
        <f t="shared" si="1"/>
        <v>48</v>
      </c>
      <c r="I97" s="3" t="str">
        <f t="shared" si="2"/>
        <v>F</v>
      </c>
      <c r="J97" s="3" t="str">
        <f t="shared" si="3"/>
        <v>Pass</v>
      </c>
    </row>
    <row r="98">
      <c r="A98" s="2">
        <v>97.0</v>
      </c>
      <c r="B98" s="2" t="s">
        <v>234</v>
      </c>
      <c r="C98" s="2" t="s">
        <v>235</v>
      </c>
      <c r="D98" s="2" t="s">
        <v>139</v>
      </c>
      <c r="E98" s="2">
        <v>26.0</v>
      </c>
      <c r="F98" s="2">
        <v>10.0</v>
      </c>
      <c r="G98" s="2">
        <v>19.0</v>
      </c>
      <c r="H98" s="2">
        <f t="shared" si="1"/>
        <v>55</v>
      </c>
      <c r="I98" s="3" t="str">
        <f t="shared" si="2"/>
        <v>E</v>
      </c>
      <c r="J98" s="3" t="str">
        <f t="shared" si="3"/>
        <v>Pass</v>
      </c>
    </row>
    <row r="99">
      <c r="A99" s="2">
        <v>98.0</v>
      </c>
      <c r="B99" s="2" t="s">
        <v>236</v>
      </c>
      <c r="C99" s="2" t="s">
        <v>237</v>
      </c>
      <c r="D99" s="2" t="s">
        <v>21</v>
      </c>
      <c r="E99" s="2">
        <v>26.0</v>
      </c>
      <c r="F99" s="2">
        <v>8.0</v>
      </c>
      <c r="G99" s="2">
        <v>37.0</v>
      </c>
      <c r="H99" s="2">
        <f t="shared" si="1"/>
        <v>71</v>
      </c>
      <c r="I99" s="3" t="str">
        <f t="shared" si="2"/>
        <v>C</v>
      </c>
      <c r="J99" s="3" t="str">
        <f t="shared" si="3"/>
        <v>Pass</v>
      </c>
    </row>
    <row r="100">
      <c r="A100" s="2">
        <v>99.0</v>
      </c>
      <c r="B100" s="2" t="s">
        <v>238</v>
      </c>
      <c r="C100" s="2" t="s">
        <v>239</v>
      </c>
      <c r="D100" s="2" t="s">
        <v>12</v>
      </c>
      <c r="E100" s="2">
        <v>6.0</v>
      </c>
      <c r="F100" s="2">
        <v>2.0</v>
      </c>
      <c r="G100" s="2">
        <v>38.0</v>
      </c>
      <c r="H100" s="2">
        <f t="shared" si="1"/>
        <v>46</v>
      </c>
      <c r="I100" s="3" t="str">
        <f t="shared" si="2"/>
        <v>F</v>
      </c>
      <c r="J100" s="3" t="str">
        <f t="shared" si="3"/>
        <v>Pass</v>
      </c>
    </row>
    <row r="101">
      <c r="A101" s="2">
        <v>100.0</v>
      </c>
      <c r="B101" s="2" t="s">
        <v>240</v>
      </c>
      <c r="C101" s="2" t="s">
        <v>241</v>
      </c>
      <c r="D101" s="2" t="s">
        <v>21</v>
      </c>
      <c r="E101" s="2">
        <v>21.0</v>
      </c>
      <c r="F101" s="2">
        <v>0.0</v>
      </c>
      <c r="G101" s="2">
        <v>46.0</v>
      </c>
      <c r="H101" s="2">
        <f t="shared" si="1"/>
        <v>67</v>
      </c>
      <c r="I101" s="3" t="str">
        <f t="shared" si="2"/>
        <v>D</v>
      </c>
      <c r="J101" s="3" t="str">
        <f t="shared" si="3"/>
        <v>Pass</v>
      </c>
    </row>
    <row r="102">
      <c r="A102" s="2">
        <v>101.0</v>
      </c>
      <c r="B102" s="2" t="s">
        <v>242</v>
      </c>
      <c r="C102" s="2" t="s">
        <v>243</v>
      </c>
      <c r="D102" s="2" t="s">
        <v>21</v>
      </c>
      <c r="E102" s="2">
        <v>30.0</v>
      </c>
      <c r="F102" s="2">
        <v>10.0</v>
      </c>
      <c r="G102" s="2">
        <v>60.0</v>
      </c>
      <c r="H102" s="2">
        <f t="shared" si="1"/>
        <v>100</v>
      </c>
      <c r="I102" s="3" t="str">
        <f t="shared" si="2"/>
        <v>A</v>
      </c>
      <c r="J102" s="3" t="str">
        <f t="shared" si="3"/>
        <v>Pass</v>
      </c>
    </row>
  </sheetData>
  <drawing r:id="rId1"/>
</worksheet>
</file>